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R:\Compartido\FERNANDO\"/>
    </mc:Choice>
  </mc:AlternateContent>
  <xr:revisionPtr revIDLastSave="0" documentId="13_ncr:1_{13B1DA74-1B3F-4F71-8F99-F73E5D0E09B2}" xr6:coauthVersionLast="47" xr6:coauthVersionMax="47" xr10:uidLastSave="{00000000-0000-0000-0000-000000000000}"/>
  <bookViews>
    <workbookView xWindow="-120" yWindow="-120" windowWidth="19440" windowHeight="15000" xr2:uid="{00000000-000D-0000-FFFF-FFFF00000000}"/>
  </bookViews>
  <sheets>
    <sheet name="PLANILLA DIARIA" sheetId="1" r:id="rId1"/>
  </sheets>
  <definedNames>
    <definedName name="_xlnm.Print_Area" localSheetId="0">'PLANILLA DIARIA'!$B$2:$BF$65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52" i="1" l="1"/>
  <c r="U28" i="1"/>
  <c r="AP28" i="1"/>
  <c r="AI28" i="1"/>
  <c r="AB28" i="1"/>
  <c r="BA7" i="1"/>
  <c r="AW42" i="1"/>
  <c r="AW49" i="1" s="1"/>
  <c r="AS49" i="1"/>
  <c r="AS48" i="1"/>
  <c r="AS47" i="1"/>
  <c r="AS46" i="1"/>
  <c r="AS45" i="1"/>
  <c r="AS44" i="1"/>
  <c r="AS43" i="1"/>
  <c r="AS42" i="1"/>
  <c r="AW28" i="1" l="1"/>
  <c r="AW13" i="1"/>
  <c r="AW14" i="1"/>
  <c r="AP25" i="1"/>
  <c r="AP35" i="1"/>
  <c r="AI35" i="1"/>
  <c r="AB35" i="1"/>
  <c r="U35" i="1"/>
  <c r="AW43" i="1" l="1"/>
  <c r="AW44" i="1"/>
  <c r="AW45" i="1"/>
  <c r="AI49" i="1"/>
  <c r="AE49" i="1"/>
  <c r="U49" i="1"/>
  <c r="Q49" i="1"/>
  <c r="AW37" i="1"/>
  <c r="AI15" i="1" l="1"/>
  <c r="AB15" i="1"/>
  <c r="BS3" i="1"/>
  <c r="BM22" i="1"/>
  <c r="BS6" i="1" l="1"/>
  <c r="BM13" i="1" l="1"/>
  <c r="BM44" i="1" l="1"/>
  <c r="BM40" i="1"/>
  <c r="BM46" i="1"/>
  <c r="BK46" i="1"/>
  <c r="BK44" i="1"/>
  <c r="BK42" i="1"/>
  <c r="BK40" i="1"/>
  <c r="BP26" i="1" l="1"/>
  <c r="BP46" i="1"/>
  <c r="BP44" i="1"/>
  <c r="BP40" i="1"/>
  <c r="BM42" i="1"/>
  <c r="BP42" i="1" s="1"/>
  <c r="BK48" i="1"/>
  <c r="BM48" i="1" l="1"/>
  <c r="BP48" i="1" s="1"/>
  <c r="BP22" i="1" l="1"/>
  <c r="BM28" i="1"/>
  <c r="BP28" i="1"/>
  <c r="BM26" i="1"/>
  <c r="BS28" i="1" l="1"/>
  <c r="BU28" i="1" s="1"/>
  <c r="BS26" i="1"/>
  <c r="BU26" i="1" s="1"/>
  <c r="BU25" i="1" l="1"/>
  <c r="BP24" i="1"/>
  <c r="BM24" i="1"/>
  <c r="BP30" i="1" l="1"/>
  <c r="BP57" i="1" s="1"/>
  <c r="BS24" i="1"/>
  <c r="BU24" i="1" s="1"/>
  <c r="BS22" i="1"/>
  <c r="BU22" i="1" s="1"/>
  <c r="BM30" i="1"/>
  <c r="BS30" i="1" l="1"/>
  <c r="BU30" i="1" s="1"/>
  <c r="BI13" i="1"/>
  <c r="AP15" i="1" l="1"/>
  <c r="AP17" i="1" s="1"/>
  <c r="AP38" i="1" l="1"/>
  <c r="AP29" i="1"/>
  <c r="AW25" i="1"/>
  <c r="AP36" i="1" l="1"/>
  <c r="BQ46" i="1"/>
  <c r="BS46" i="1" s="1"/>
  <c r="BU46" i="1" s="1"/>
  <c r="AW16" i="1"/>
  <c r="BP56" i="1" s="1"/>
  <c r="U15" i="1"/>
  <c r="AW12" i="1"/>
  <c r="AB17" i="1" l="1"/>
  <c r="AI17" i="1"/>
  <c r="AW35" i="1"/>
  <c r="AW15" i="1"/>
  <c r="U17" i="1"/>
  <c r="U38" i="1" l="1"/>
  <c r="U29" i="1"/>
  <c r="U30" i="1" s="1"/>
  <c r="AI38" i="1"/>
  <c r="AI29" i="1"/>
  <c r="AB29" i="1"/>
  <c r="AB38" i="1"/>
  <c r="AW17" i="1"/>
  <c r="U36" i="1" l="1"/>
  <c r="BQ40" i="1"/>
  <c r="BS40" i="1" s="1"/>
  <c r="BU40" i="1" s="1"/>
  <c r="AI36" i="1"/>
  <c r="BQ44" i="1"/>
  <c r="BS44" i="1" s="1"/>
  <c r="BU44" i="1" s="1"/>
  <c r="AB36" i="1"/>
  <c r="AW38" i="1"/>
  <c r="T51" i="1" s="1"/>
  <c r="BQ42" i="1"/>
  <c r="BP13" i="1"/>
  <c r="BS13" i="1" s="1"/>
  <c r="BU13" i="1" s="1"/>
  <c r="AW29" i="1"/>
  <c r="AW30" i="1" s="1"/>
  <c r="AB30" i="1"/>
  <c r="AP30" i="1"/>
  <c r="AI30" i="1"/>
  <c r="AW36" i="1" l="1"/>
  <c r="BQ48" i="1"/>
  <c r="BS42" i="1"/>
  <c r="BP58" i="1"/>
  <c r="BU42" i="1" l="1"/>
  <c r="BS48" i="1"/>
  <c r="BU48" i="1" s="1"/>
</calcChain>
</file>

<file path=xl/sharedStrings.xml><?xml version="1.0" encoding="utf-8"?>
<sst xmlns="http://schemas.openxmlformats.org/spreadsheetml/2006/main" count="116" uniqueCount="85">
  <si>
    <t>PLANILLA DIARIA DE CAJERO AUTOMATICO</t>
  </si>
  <si>
    <t>CODIGO</t>
  </si>
  <si>
    <t>SUCURSAL</t>
  </si>
  <si>
    <t>N° DE CAJERO</t>
  </si>
  <si>
    <t>FECHA</t>
  </si>
  <si>
    <t>I-BALANCEO DE RED</t>
  </si>
  <si>
    <t>DETALLE</t>
  </si>
  <si>
    <t>TOTALES</t>
  </si>
  <si>
    <t>MONTO STANDARD</t>
  </si>
  <si>
    <t>INCREMENTO DE EFECTIVO</t>
  </si>
  <si>
    <t>DISMINUCIÓN DE EFECTIVO</t>
  </si>
  <si>
    <t>TOTAL EFECTIVO</t>
  </si>
  <si>
    <t>EXTRACCIONES</t>
  </si>
  <si>
    <t>EFECTIVO REMANENTE</t>
  </si>
  <si>
    <t>TOTAL TARJETAS CAPTURADAS</t>
  </si>
  <si>
    <t>CANTIDAD</t>
  </si>
  <si>
    <t>IMPORTE</t>
  </si>
  <si>
    <t>DEPOSITOS - EN EFECTIVO Y CHEQUES</t>
  </si>
  <si>
    <t>PAGOS</t>
  </si>
  <si>
    <t>MENSAJES</t>
  </si>
  <si>
    <t>DISPENSADO</t>
  </si>
  <si>
    <t>REMANENTE</t>
  </si>
  <si>
    <t>TOTAL</t>
  </si>
  <si>
    <t>III - RECUENTO FISICO</t>
  </si>
  <si>
    <t>SALDO APERTURA</t>
  </si>
  <si>
    <t>REPOSICIÓN</t>
  </si>
  <si>
    <t>RECHAZADOS</t>
  </si>
  <si>
    <t>PROPIOS</t>
  </si>
  <si>
    <t>OTROS BANCOS</t>
  </si>
  <si>
    <t>CANT</t>
  </si>
  <si>
    <t>Depósitos efvo. SIN diferencia</t>
  </si>
  <si>
    <t>Depósitos efvo. CON diferencia</t>
  </si>
  <si>
    <t>Depósitos con cheque</t>
  </si>
  <si>
    <t>Pagos con cheque</t>
  </si>
  <si>
    <t>Pagos con débito en cuenta</t>
  </si>
  <si>
    <t>Pagos orden de débito</t>
  </si>
  <si>
    <t>Mensajes</t>
  </si>
  <si>
    <t>Totales</t>
  </si>
  <si>
    <t>Diferencia a regularizar (Importe):</t>
  </si>
  <si>
    <t>Motivo:</t>
  </si>
  <si>
    <t>Balance c/tarjeta administrativa (2)</t>
  </si>
  <si>
    <t>Informo:</t>
  </si>
  <si>
    <t>Balance por control de red (2)</t>
  </si>
  <si>
    <t>Observaciones:</t>
  </si>
  <si>
    <t>Ref.: (1) Informar los montos recontados - (2) Tachar lo que no corresponda</t>
  </si>
  <si>
    <t>Resp.Interviniente</t>
  </si>
  <si>
    <t>Servicio de Caja</t>
  </si>
  <si>
    <t>CONFIGURACION DE CASETERAS</t>
  </si>
  <si>
    <t>DIFERENCIA</t>
  </si>
  <si>
    <t>OPERACIONES-ATM-SUMAS</t>
  </si>
  <si>
    <t>SE RECUERDA QUE NO SE ENCUENTRA HABILITADO EL INCIDENTE TIPO 7 (DIFERENCIA EN COMPENSACIÓN)        DE NO REGISTRAR DIFERENCIAS ENTRE BALANCEOS DEBERÁN ENVIAR MAIL A:</t>
  </si>
  <si>
    <t>=</t>
  </si>
  <si>
    <t>+</t>
  </si>
  <si>
    <t>DIFERENCIA GENERAL DEL ATM</t>
  </si>
  <si>
    <t>TOTAL INCIAL</t>
  </si>
  <si>
    <t>CANCELACION CASA CENTRAL</t>
  </si>
  <si>
    <t>RECUENTO FÍSICO</t>
  </si>
  <si>
    <t>DIFERENCIA ADMINISTRATIVA</t>
  </si>
  <si>
    <t>GAVETA 1</t>
  </si>
  <si>
    <t>GAVETA 2</t>
  </si>
  <si>
    <t>GAVETA 3</t>
  </si>
  <si>
    <t>GAVETA 4</t>
  </si>
  <si>
    <t>ANALISIS DE DIFERENCIAS                    EN DISPENSADO</t>
  </si>
  <si>
    <t>TOTAL BALANCE DE RED</t>
  </si>
  <si>
    <t>TOTAL BALANCE ATM</t>
  </si>
  <si>
    <t>DIFERENCIA FÍSICA</t>
  </si>
  <si>
    <t>GAVETA</t>
  </si>
  <si>
    <t>DINERO INICIAL</t>
  </si>
  <si>
    <t>DIFERENCIA (1)</t>
  </si>
  <si>
    <t>DIFERENCIA (1): DIFERENCIA ENTRE DINERO INICIAL Y TOTAL DEL BALANCE DE RED</t>
  </si>
  <si>
    <t>RECUENTO FÍSICO (2)</t>
  </si>
  <si>
    <t>DIFERENCIA (1) - (2)</t>
  </si>
  <si>
    <t>Monto Dispensado según Balance de Red</t>
  </si>
  <si>
    <t>Monto Dispensado según Impresión de SubTotales</t>
  </si>
  <si>
    <t>DATOS A INTEGRAR PARA LA CONFECCIÓN DEL INCIDENTE</t>
  </si>
  <si>
    <t>Monto Dispensado según recuento físico</t>
  </si>
  <si>
    <t>$</t>
  </si>
  <si>
    <t>La cancelación de Casa Central (Total de Extracciones según Balance de Red) sumado al Remanente Físico debe de ser igual al Monto Total Incial, con el cual se puso en producción al Atm.</t>
  </si>
  <si>
    <t>ATM</t>
  </si>
  <si>
    <t>TOTAL DISPENSADO BALANCE ATM</t>
  </si>
  <si>
    <t>F-55740-MAY/26</t>
  </si>
  <si>
    <t>GAVETA DE DEPOSITOS (1)</t>
  </si>
  <si>
    <t>GAVETA DE DEPOSITOS</t>
  </si>
  <si>
    <t>II- CANTIDAD DISPENSADO SEGÚN IMPRESIÓN SUBTOTALES</t>
  </si>
  <si>
    <t>MORENO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</si>
</sst>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
  </numFmts>
  <fonts count="19" x14ac:knownFonts="1">
    <font>
      <sz val="11"/>
      <color theme="1"/>
      <name val="Calibri"/>
      <family val="2"/>
      <scheme val="minor"/>
    </font>
    <font>
      <b/>
      <sz val="11"/>
      <color theme="0"/>
      <name val="Calibri"/>
      <family val="2"/>
      <scheme val="minor"/>
    </font>
    <font>
      <b/>
      <sz val="12"/>
      <color theme="0"/>
      <name val="Calibri"/>
      <family val="2"/>
      <scheme val="minor"/>
    </font>
    <font>
      <b/>
      <sz val="10"/>
      <color theme="1"/>
      <name val="Calibri"/>
      <family val="2"/>
      <scheme val="minor"/>
    </font>
    <font>
      <b/>
      <sz val="9"/>
      <color theme="1"/>
      <name val="Calibri"/>
      <family val="2"/>
      <scheme val="minor"/>
    </font>
    <font>
      <sz val="8"/>
      <color theme="1"/>
      <name val="Calibri"/>
      <family val="2"/>
      <scheme val="minor"/>
    </font>
    <font>
      <b/>
      <sz val="8"/>
      <color theme="1"/>
      <name val="Calibri"/>
      <family val="2"/>
      <scheme val="minor"/>
    </font>
    <font>
      <b/>
      <sz val="12"/>
      <color theme="1"/>
      <name val="Calibri"/>
      <family val="2"/>
      <scheme val="minor"/>
    </font>
    <font>
      <b/>
      <sz val="20"/>
      <color theme="1"/>
      <name val="Calibri"/>
      <family val="2"/>
      <scheme val="minor"/>
    </font>
    <font>
      <b/>
      <sz val="14"/>
      <color theme="0"/>
      <name val="Calibri"/>
      <family val="2"/>
      <scheme val="minor"/>
    </font>
    <font>
      <b/>
      <sz val="11"/>
      <color theme="1"/>
      <name val="Calibri"/>
      <family val="2"/>
      <scheme val="minor"/>
    </font>
    <font>
      <b/>
      <sz val="18"/>
      <color theme="0"/>
      <name val="Calibri"/>
      <family val="2"/>
      <scheme val="minor"/>
    </font>
    <font>
      <b/>
      <sz val="14"/>
      <color theme="1"/>
      <name val="Calibri"/>
      <family val="2"/>
      <scheme val="minor"/>
    </font>
    <font>
      <b/>
      <sz val="12"/>
      <name val="Calibri"/>
      <family val="2"/>
      <scheme val="minor"/>
    </font>
    <font>
      <sz val="12"/>
      <name val="Calibri"/>
      <family val="2"/>
      <scheme val="minor"/>
    </font>
    <font>
      <b/>
      <sz val="14"/>
      <name val="Calibri"/>
      <family val="2"/>
      <scheme val="minor"/>
    </font>
    <font>
      <b/>
      <sz val="20"/>
      <color theme="0"/>
      <name val="Calibri"/>
      <family val="2"/>
      <scheme val="minor"/>
    </font>
    <font>
      <b/>
      <sz val="22"/>
      <color theme="0"/>
      <name val="Calibri"/>
      <family val="2"/>
      <scheme val="minor"/>
    </font>
    <font>
      <b/>
      <sz val="14"/>
      <color theme="1"/>
      <name val="Calibri"/>
      <family val="2"/>
    </font>
  </fonts>
  <fills count="13">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4" tint="-0.499984740745262"/>
        <bgColor indexed="64"/>
      </patternFill>
    </fill>
    <fill>
      <patternFill patternType="solid">
        <fgColor rgb="FFFF0000"/>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theme="2" tint="-0.249977111117893"/>
        <bgColor indexed="64"/>
      </patternFill>
    </fill>
  </fills>
  <borders count="7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ck">
        <color indexed="64"/>
      </right>
      <top style="thick">
        <color indexed="64"/>
      </top>
      <bottom style="thick">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thick">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ck">
        <color indexed="64"/>
      </left>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ck">
        <color indexed="64"/>
      </bottom>
      <diagonal/>
    </border>
    <border>
      <left/>
      <right/>
      <top/>
      <bottom style="thick">
        <color indexed="64"/>
      </bottom>
      <diagonal/>
    </border>
    <border>
      <left/>
      <right style="medium">
        <color indexed="64"/>
      </right>
      <top/>
      <bottom style="thick">
        <color indexed="64"/>
      </bottom>
      <diagonal/>
    </border>
    <border>
      <left style="medium">
        <color indexed="64"/>
      </left>
      <right/>
      <top style="thin">
        <color indexed="64"/>
      </top>
      <bottom style="thick">
        <color indexed="64"/>
      </bottom>
      <diagonal/>
    </border>
    <border>
      <left/>
      <right/>
      <top style="thin">
        <color indexed="64"/>
      </top>
      <bottom style="thick">
        <color indexed="64"/>
      </bottom>
      <diagonal/>
    </border>
    <border>
      <left/>
      <right style="medium">
        <color indexed="64"/>
      </right>
      <top style="thin">
        <color indexed="64"/>
      </top>
      <bottom style="thick">
        <color indexed="64"/>
      </bottom>
      <diagonal/>
    </border>
  </borders>
  <cellStyleXfs count="1">
    <xf numFmtId="0" fontId="0" fillId="0" borderId="0"/>
  </cellStyleXfs>
  <cellXfs count="389">
    <xf numFmtId="0" fontId="0" fillId="0" borderId="0" xfId="0"/>
    <xf numFmtId="0" fontId="0" fillId="0" borderId="1" xfId="0" applyBorder="1"/>
    <xf numFmtId="0" fontId="0" fillId="0" borderId="2" xfId="0" applyBorder="1"/>
    <xf numFmtId="0" fontId="0" fillId="0" borderId="4" xfId="0" applyBorder="1"/>
    <xf numFmtId="0" fontId="0" fillId="0" borderId="0" xfId="0" applyBorder="1"/>
    <xf numFmtId="0" fontId="0" fillId="4" borderId="0" xfId="0" applyFill="1"/>
    <xf numFmtId="0" fontId="0" fillId="0" borderId="4" xfId="0" applyFont="1" applyBorder="1"/>
    <xf numFmtId="0" fontId="0" fillId="0" borderId="0" xfId="0" applyFont="1" applyBorder="1"/>
    <xf numFmtId="0" fontId="0" fillId="0" borderId="5" xfId="0" applyFont="1" applyBorder="1"/>
    <xf numFmtId="0" fontId="0" fillId="0" borderId="28" xfId="0" applyFont="1" applyBorder="1" applyAlignment="1">
      <alignment vertical="center"/>
    </xf>
    <xf numFmtId="0" fontId="0" fillId="0" borderId="29" xfId="0" applyFont="1" applyBorder="1" applyAlignment="1">
      <alignment vertical="center"/>
    </xf>
    <xf numFmtId="0" fontId="0" fillId="0" borderId="30" xfId="0" applyFont="1" applyBorder="1" applyAlignment="1">
      <alignment vertical="center"/>
    </xf>
    <xf numFmtId="0" fontId="0" fillId="0" borderId="4" xfId="0" applyFont="1" applyBorder="1" applyAlignment="1">
      <alignment vertical="center"/>
    </xf>
    <xf numFmtId="0" fontId="0" fillId="0" borderId="0" xfId="0" applyFont="1" applyBorder="1" applyAlignment="1">
      <alignment vertical="center"/>
    </xf>
    <xf numFmtId="0" fontId="0" fillId="0" borderId="0" xfId="0" applyFont="1" applyBorder="1" applyAlignment="1">
      <alignment horizontal="right"/>
    </xf>
    <xf numFmtId="0" fontId="0" fillId="0" borderId="5" xfId="0" applyFont="1" applyBorder="1" applyAlignment="1">
      <alignment horizontal="right"/>
    </xf>
    <xf numFmtId="0" fontId="0" fillId="0" borderId="4" xfId="0" applyFont="1" applyBorder="1" applyAlignment="1"/>
    <xf numFmtId="0" fontId="0" fillId="0" borderId="0" xfId="0" applyFont="1" applyBorder="1" applyAlignment="1"/>
    <xf numFmtId="0" fontId="0" fillId="0" borderId="0" xfId="0" applyFont="1" applyBorder="1" applyAlignment="1">
      <alignment horizontal="left"/>
    </xf>
    <xf numFmtId="0" fontId="0" fillId="0" borderId="5" xfId="0" applyFont="1" applyBorder="1" applyAlignment="1">
      <alignment horizontal="left"/>
    </xf>
    <xf numFmtId="0" fontId="0" fillId="0" borderId="0" xfId="0" applyFont="1"/>
    <xf numFmtId="0" fontId="0" fillId="0" borderId="43" xfId="0" applyFont="1" applyBorder="1"/>
    <xf numFmtId="0" fontId="0" fillId="0" borderId="35" xfId="0" applyFont="1" applyBorder="1"/>
    <xf numFmtId="0" fontId="0" fillId="0" borderId="35" xfId="0" applyFont="1" applyBorder="1" applyAlignment="1"/>
    <xf numFmtId="0" fontId="0" fillId="0" borderId="36" xfId="0" applyFont="1" applyBorder="1" applyAlignment="1"/>
    <xf numFmtId="0" fontId="0" fillId="0" borderId="0" xfId="0" applyFont="1" applyBorder="1" applyAlignment="1">
      <alignment horizontal="center"/>
    </xf>
    <xf numFmtId="0" fontId="0" fillId="0" borderId="44" xfId="0" applyFont="1" applyBorder="1"/>
    <xf numFmtId="0" fontId="0" fillId="0" borderId="5" xfId="0" applyFont="1" applyBorder="1" applyAlignment="1"/>
    <xf numFmtId="0" fontId="0" fillId="0" borderId="45" xfId="0" applyFont="1" applyBorder="1" applyAlignment="1"/>
    <xf numFmtId="0" fontId="0" fillId="0" borderId="41" xfId="0" applyFont="1" applyBorder="1" applyAlignment="1"/>
    <xf numFmtId="0" fontId="0" fillId="0" borderId="42" xfId="0" applyFont="1" applyBorder="1" applyAlignment="1"/>
    <xf numFmtId="0" fontId="0" fillId="0" borderId="6" xfId="0" applyFont="1" applyBorder="1"/>
    <xf numFmtId="0" fontId="0" fillId="0" borderId="7" xfId="0" applyFont="1" applyBorder="1"/>
    <xf numFmtId="0" fontId="0" fillId="0" borderId="8" xfId="0" applyFont="1" applyBorder="1"/>
    <xf numFmtId="0" fontId="5" fillId="0" borderId="0" xfId="0" applyFont="1" applyBorder="1"/>
    <xf numFmtId="0" fontId="0" fillId="0" borderId="41" xfId="0" applyFont="1" applyBorder="1"/>
    <xf numFmtId="0" fontId="6" fillId="0" borderId="0" xfId="0" applyFont="1"/>
    <xf numFmtId="0" fontId="7" fillId="4" borderId="0" xfId="0" applyFont="1" applyFill="1" applyBorder="1" applyAlignment="1">
      <alignment vertical="center" wrapText="1"/>
    </xf>
    <xf numFmtId="0" fontId="0" fillId="3" borderId="15" xfId="0" applyFill="1" applyBorder="1" applyAlignment="1">
      <alignment horizontal="center" vertical="center"/>
    </xf>
    <xf numFmtId="0" fontId="0" fillId="3" borderId="24" xfId="0" applyFill="1" applyBorder="1" applyAlignment="1">
      <alignment horizontal="center" vertical="center"/>
    </xf>
    <xf numFmtId="0" fontId="0" fillId="4" borderId="0" xfId="0" applyFill="1" applyBorder="1" applyAlignment="1">
      <alignment vertical="center" wrapText="1"/>
    </xf>
    <xf numFmtId="0" fontId="0" fillId="6" borderId="0" xfId="0" applyFill="1"/>
    <xf numFmtId="0" fontId="0" fillId="4" borderId="0" xfId="0" applyFill="1" applyAlignment="1">
      <alignment vertical="center"/>
    </xf>
    <xf numFmtId="0" fontId="0" fillId="4" borderId="0" xfId="0" applyFill="1" applyAlignment="1">
      <alignment horizontal="center" vertical="center"/>
    </xf>
    <xf numFmtId="0" fontId="0" fillId="4" borderId="0" xfId="0" applyFill="1" applyBorder="1" applyAlignment="1">
      <alignment horizontal="center" vertical="center"/>
    </xf>
    <xf numFmtId="0" fontId="12" fillId="4" borderId="0" xfId="0" applyFont="1" applyFill="1"/>
    <xf numFmtId="0" fontId="12" fillId="4" borderId="0" xfId="0" applyFont="1" applyFill="1" applyAlignment="1">
      <alignment horizontal="center" vertical="center"/>
    </xf>
    <xf numFmtId="0" fontId="11" fillId="4" borderId="0" xfId="0" applyFont="1" applyFill="1" applyBorder="1" applyAlignment="1">
      <alignment vertical="center"/>
    </xf>
    <xf numFmtId="0" fontId="0" fillId="4" borderId="0" xfId="0" applyFill="1" applyBorder="1"/>
    <xf numFmtId="0" fontId="14" fillId="4" borderId="0" xfId="0" applyFont="1" applyFill="1" applyBorder="1" applyAlignment="1">
      <alignment vertical="center"/>
    </xf>
    <xf numFmtId="0" fontId="14" fillId="4" borderId="0" xfId="0" applyFont="1" applyFill="1" applyBorder="1" applyAlignment="1">
      <alignment horizontal="center" vertical="center"/>
    </xf>
    <xf numFmtId="0" fontId="14" fillId="4" borderId="0" xfId="0" applyFont="1" applyFill="1" applyBorder="1" applyAlignment="1">
      <alignment vertical="center" wrapText="1"/>
    </xf>
    <xf numFmtId="164" fontId="15" fillId="4" borderId="0" xfId="0" applyNumberFormat="1" applyFont="1" applyFill="1" applyBorder="1" applyAlignment="1">
      <alignment vertical="center"/>
    </xf>
    <xf numFmtId="0" fontId="1" fillId="4" borderId="0" xfId="0" applyFont="1" applyFill="1" applyBorder="1" applyAlignment="1">
      <alignment horizontal="center" vertical="center" wrapText="1"/>
    </xf>
    <xf numFmtId="0" fontId="1" fillId="4" borderId="0" xfId="0" applyFont="1" applyFill="1" applyBorder="1" applyAlignment="1">
      <alignment vertical="center" wrapText="1"/>
    </xf>
    <xf numFmtId="164" fontId="9" fillId="4" borderId="0" xfId="0" applyNumberFormat="1" applyFont="1" applyFill="1" applyBorder="1" applyAlignment="1">
      <alignment horizontal="center" vertical="center"/>
    </xf>
    <xf numFmtId="164" fontId="9" fillId="4" borderId="0" xfId="0" applyNumberFormat="1" applyFont="1" applyFill="1" applyBorder="1" applyAlignment="1">
      <alignment vertical="center"/>
    </xf>
    <xf numFmtId="6" fontId="0" fillId="4" borderId="0" xfId="0" applyNumberFormat="1" applyFill="1"/>
    <xf numFmtId="0" fontId="0" fillId="0" borderId="56" xfId="0" applyBorder="1"/>
    <xf numFmtId="0" fontId="1" fillId="8" borderId="40" xfId="0" applyFont="1" applyFill="1" applyBorder="1" applyAlignment="1">
      <alignment horizontal="center" vertical="center"/>
    </xf>
    <xf numFmtId="0" fontId="1" fillId="8" borderId="20" xfId="0" applyFont="1" applyFill="1" applyBorder="1" applyAlignment="1">
      <alignment horizontal="center" vertical="center"/>
    </xf>
    <xf numFmtId="0" fontId="0" fillId="0" borderId="0" xfId="0" applyFont="1" applyBorder="1"/>
    <xf numFmtId="164" fontId="0" fillId="3" borderId="17" xfId="0" applyNumberFormat="1" applyFill="1" applyBorder="1" applyAlignment="1" applyProtection="1">
      <alignment horizontal="center" vertical="center"/>
      <protection locked="0"/>
    </xf>
    <xf numFmtId="164" fontId="0" fillId="3" borderId="26" xfId="0" applyNumberFormat="1" applyFill="1" applyBorder="1" applyAlignment="1" applyProtection="1">
      <alignment horizontal="center" vertical="center"/>
      <protection locked="0"/>
    </xf>
    <xf numFmtId="0" fontId="7" fillId="4" borderId="20" xfId="0" applyFont="1" applyFill="1" applyBorder="1" applyAlignment="1">
      <alignment horizontal="center" vertical="center"/>
    </xf>
    <xf numFmtId="14" fontId="7" fillId="4" borderId="20" xfId="0" applyNumberFormat="1" applyFont="1" applyFill="1" applyBorder="1" applyAlignment="1">
      <alignment horizontal="center" vertical="center"/>
    </xf>
    <xf numFmtId="14" fontId="7" fillId="4" borderId="28" xfId="0" applyNumberFormat="1" applyFont="1" applyFill="1" applyBorder="1" applyAlignment="1">
      <alignment horizontal="center" vertical="center"/>
    </xf>
    <xf numFmtId="0" fontId="1" fillId="8" borderId="12" xfId="0" applyFont="1" applyFill="1" applyBorder="1" applyAlignment="1">
      <alignment horizontal="center" vertical="center"/>
    </xf>
    <xf numFmtId="0" fontId="1" fillId="8" borderId="14" xfId="0" applyFont="1" applyFill="1" applyBorder="1" applyAlignment="1">
      <alignment horizontal="center" vertical="center"/>
    </xf>
    <xf numFmtId="0" fontId="1" fillId="8" borderId="15" xfId="0" applyFont="1" applyFill="1" applyBorder="1" applyAlignment="1">
      <alignment horizontal="center" vertical="center"/>
    </xf>
    <xf numFmtId="0" fontId="1" fillId="8" borderId="17" xfId="0" applyFont="1" applyFill="1" applyBorder="1" applyAlignment="1">
      <alignment horizontal="center" vertical="center"/>
    </xf>
    <xf numFmtId="0" fontId="9" fillId="2" borderId="0" xfId="0" applyFont="1" applyFill="1" applyAlignment="1">
      <alignment horizontal="center" vertical="center" wrapText="1"/>
    </xf>
    <xf numFmtId="0" fontId="10" fillId="4" borderId="0" xfId="0" applyFont="1" applyFill="1" applyBorder="1" applyAlignment="1">
      <alignment horizontal="center" vertical="center"/>
    </xf>
    <xf numFmtId="0" fontId="0" fillId="0" borderId="24" xfId="0" applyFont="1" applyBorder="1"/>
    <xf numFmtId="0" fontId="0" fillId="0" borderId="25" xfId="0" applyFont="1" applyBorder="1"/>
    <xf numFmtId="0" fontId="0" fillId="0" borderId="26" xfId="0" applyFont="1" applyBorder="1"/>
    <xf numFmtId="0" fontId="0" fillId="12" borderId="29" xfId="0" applyFont="1" applyFill="1" applyBorder="1" applyAlignment="1" applyProtection="1">
      <alignment horizontal="right"/>
    </xf>
    <xf numFmtId="0" fontId="0" fillId="12" borderId="33" xfId="0" applyFont="1" applyFill="1" applyBorder="1" applyAlignment="1" applyProtection="1">
      <alignment horizontal="right"/>
    </xf>
    <xf numFmtId="0" fontId="0" fillId="12" borderId="28" xfId="0" applyFont="1" applyFill="1" applyBorder="1" applyAlignment="1" applyProtection="1">
      <alignment horizontal="right"/>
    </xf>
    <xf numFmtId="0" fontId="0" fillId="12" borderId="30" xfId="0" applyFont="1" applyFill="1" applyBorder="1" applyAlignment="1" applyProtection="1">
      <alignment horizontal="right"/>
    </xf>
    <xf numFmtId="0" fontId="0" fillId="12" borderId="21" xfId="0" applyFont="1" applyFill="1" applyBorder="1" applyAlignment="1" applyProtection="1">
      <alignment horizontal="right"/>
    </xf>
    <xf numFmtId="0" fontId="0" fillId="12" borderId="22" xfId="0" applyFont="1" applyFill="1" applyBorder="1" applyAlignment="1" applyProtection="1">
      <alignment horizontal="right"/>
    </xf>
    <xf numFmtId="0" fontId="0" fillId="12" borderId="23" xfId="0" applyFont="1" applyFill="1" applyBorder="1" applyAlignment="1" applyProtection="1">
      <alignment horizontal="right"/>
    </xf>
    <xf numFmtId="0" fontId="0" fillId="0" borderId="15" xfId="0" applyFont="1" applyBorder="1"/>
    <xf numFmtId="0" fontId="0" fillId="0" borderId="16" xfId="0" applyFont="1" applyBorder="1"/>
    <xf numFmtId="0" fontId="0" fillId="0" borderId="17" xfId="0" applyFont="1" applyBorder="1"/>
    <xf numFmtId="0" fontId="0" fillId="0" borderId="18" xfId="0" applyFont="1" applyBorder="1" applyAlignment="1" applyProtection="1">
      <alignment horizontal="right"/>
      <protection locked="0"/>
    </xf>
    <xf numFmtId="0" fontId="0" fillId="0" borderId="19" xfId="0" applyFont="1" applyBorder="1" applyAlignment="1" applyProtection="1">
      <alignment horizontal="right"/>
      <protection locked="0"/>
    </xf>
    <xf numFmtId="0" fontId="0" fillId="2" borderId="20" xfId="0" applyFont="1" applyFill="1" applyBorder="1" applyAlignment="1">
      <alignment horizontal="right"/>
    </xf>
    <xf numFmtId="0" fontId="0" fillId="2" borderId="18" xfId="0" applyFont="1" applyFill="1" applyBorder="1" applyAlignment="1">
      <alignment horizontal="right"/>
    </xf>
    <xf numFmtId="0" fontId="0" fillId="2" borderId="19" xfId="0" applyFont="1" applyFill="1" applyBorder="1" applyAlignment="1">
      <alignment horizontal="right"/>
    </xf>
    <xf numFmtId="0" fontId="0" fillId="0" borderId="0" xfId="0" applyFont="1" applyBorder="1" applyAlignment="1" applyProtection="1">
      <alignment horizontal="left" vertical="top" wrapText="1"/>
      <protection locked="0"/>
    </xf>
    <xf numFmtId="0" fontId="0" fillId="0" borderId="20" xfId="0" applyFont="1" applyBorder="1" applyAlignment="1" applyProtection="1">
      <alignment horizontal="right"/>
      <protection locked="0"/>
    </xf>
    <xf numFmtId="0" fontId="0" fillId="12" borderId="69" xfId="0" applyFont="1" applyFill="1" applyBorder="1" applyAlignment="1" applyProtection="1">
      <alignment horizontal="right"/>
    </xf>
    <xf numFmtId="0" fontId="0" fillId="12" borderId="70" xfId="0" applyFont="1" applyFill="1" applyBorder="1" applyAlignment="1" applyProtection="1">
      <alignment horizontal="right"/>
    </xf>
    <xf numFmtId="0" fontId="0" fillId="12" borderId="71" xfId="0" applyFont="1" applyFill="1" applyBorder="1" applyAlignment="1" applyProtection="1">
      <alignment horizontal="right"/>
    </xf>
    <xf numFmtId="0" fontId="0" fillId="12" borderId="20" xfId="0" applyFont="1" applyFill="1" applyBorder="1" applyAlignment="1" applyProtection="1">
      <alignment horizontal="right"/>
    </xf>
    <xf numFmtId="0" fontId="0" fillId="12" borderId="18" xfId="0" applyFont="1" applyFill="1" applyBorder="1" applyAlignment="1" applyProtection="1">
      <alignment horizontal="right"/>
    </xf>
    <xf numFmtId="0" fontId="0" fillId="12" borderId="19" xfId="0" applyFont="1" applyFill="1" applyBorder="1" applyAlignment="1" applyProtection="1">
      <alignment horizontal="right"/>
    </xf>
    <xf numFmtId="0" fontId="6" fillId="0" borderId="35" xfId="0" applyFont="1" applyBorder="1" applyAlignment="1">
      <alignment horizontal="center"/>
    </xf>
    <xf numFmtId="6" fontId="0" fillId="0" borderId="41" xfId="0" applyNumberFormat="1" applyFont="1" applyBorder="1" applyAlignment="1" applyProtection="1">
      <alignment horizontal="center"/>
    </xf>
    <xf numFmtId="0" fontId="0" fillId="0" borderId="41" xfId="0" applyFont="1" applyBorder="1" applyAlignment="1" applyProtection="1">
      <alignment horizontal="center"/>
    </xf>
    <xf numFmtId="0" fontId="0" fillId="0" borderId="41" xfId="0" applyFont="1" applyBorder="1" applyAlignment="1" applyProtection="1">
      <alignment horizontal="left"/>
      <protection locked="0"/>
    </xf>
    <xf numFmtId="0" fontId="0" fillId="0" borderId="42" xfId="0" applyFont="1" applyBorder="1" applyAlignment="1" applyProtection="1">
      <alignment horizontal="left"/>
      <protection locked="0"/>
    </xf>
    <xf numFmtId="0" fontId="0" fillId="0" borderId="4" xfId="0" applyFont="1" applyBorder="1" applyAlignment="1">
      <alignment horizontal="left"/>
    </xf>
    <xf numFmtId="0" fontId="0" fillId="0" borderId="0" xfId="0" applyFont="1" applyBorder="1" applyAlignment="1">
      <alignment horizontal="left"/>
    </xf>
    <xf numFmtId="0" fontId="0" fillId="0" borderId="0" xfId="0" applyFont="1" applyBorder="1" applyAlignment="1">
      <alignment horizontal="center"/>
    </xf>
    <xf numFmtId="0" fontId="0" fillId="0" borderId="35" xfId="0" applyFont="1" applyBorder="1" applyAlignment="1" applyProtection="1">
      <alignment horizontal="left" vertical="top" wrapText="1"/>
      <protection locked="0"/>
    </xf>
    <xf numFmtId="0" fontId="0" fillId="0" borderId="41" xfId="0" applyFont="1" applyBorder="1" applyAlignment="1" applyProtection="1">
      <alignment horizontal="left" vertical="top" wrapText="1"/>
      <protection locked="0"/>
    </xf>
    <xf numFmtId="0" fontId="0" fillId="2" borderId="34" xfId="0" applyFont="1" applyFill="1" applyBorder="1" applyAlignment="1">
      <alignment horizontal="right"/>
    </xf>
    <xf numFmtId="0" fontId="0" fillId="2" borderId="35" xfId="0" applyFont="1" applyFill="1" applyBorder="1" applyAlignment="1">
      <alignment horizontal="right"/>
    </xf>
    <xf numFmtId="0" fontId="0" fillId="2" borderId="36" xfId="0" applyFont="1" applyFill="1" applyBorder="1" applyAlignment="1">
      <alignment horizontal="right"/>
    </xf>
    <xf numFmtId="0" fontId="0" fillId="0" borderId="16" xfId="0" applyBorder="1" applyAlignment="1" applyProtection="1">
      <alignment horizontal="center"/>
      <protection locked="0"/>
    </xf>
    <xf numFmtId="0" fontId="0" fillId="12" borderId="40" xfId="0" applyFont="1" applyFill="1" applyBorder="1" applyAlignment="1" applyProtection="1">
      <alignment horizontal="right"/>
    </xf>
    <xf numFmtId="0" fontId="0" fillId="12" borderId="38" xfId="0" applyFont="1" applyFill="1" applyBorder="1" applyAlignment="1" applyProtection="1">
      <alignment horizontal="right"/>
    </xf>
    <xf numFmtId="0" fontId="0" fillId="12" borderId="39" xfId="0" applyFont="1" applyFill="1" applyBorder="1" applyAlignment="1" applyProtection="1">
      <alignment horizontal="right"/>
    </xf>
    <xf numFmtId="0" fontId="0" fillId="0" borderId="12" xfId="0" applyFont="1" applyBorder="1"/>
    <xf numFmtId="0" fontId="0" fillId="0" borderId="13" xfId="0" applyFont="1" applyBorder="1"/>
    <xf numFmtId="0" fontId="0" fillId="0" borderId="14" xfId="0" applyFont="1" applyBorder="1"/>
    <xf numFmtId="0" fontId="0" fillId="0" borderId="38" xfId="0" applyFont="1" applyBorder="1" applyAlignment="1" applyProtection="1">
      <alignment horizontal="right"/>
      <protection locked="0"/>
    </xf>
    <xf numFmtId="0" fontId="0" fillId="0" borderId="39" xfId="0" applyFont="1" applyBorder="1" applyAlignment="1" applyProtection="1">
      <alignment horizontal="right"/>
      <protection locked="0"/>
    </xf>
    <xf numFmtId="0" fontId="0" fillId="0" borderId="40" xfId="0" applyFont="1" applyBorder="1" applyAlignment="1" applyProtection="1">
      <alignment horizontal="right"/>
      <protection locked="0"/>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5" xfId="0" applyFont="1" applyBorder="1" applyAlignment="1">
      <alignment horizontal="center" vertical="center" wrapText="1"/>
    </xf>
    <xf numFmtId="0" fontId="3" fillId="0" borderId="10" xfId="0" applyFont="1" applyBorder="1" applyAlignment="1">
      <alignment horizontal="center"/>
    </xf>
    <xf numFmtId="0" fontId="3" fillId="0" borderId="9" xfId="0" applyFont="1" applyBorder="1" applyAlignment="1">
      <alignment horizontal="center"/>
    </xf>
    <xf numFmtId="0" fontId="3" fillId="0" borderId="11" xfId="0" applyFont="1" applyBorder="1" applyAlignment="1">
      <alignment horizont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horizontal="center" vertical="center"/>
    </xf>
    <xf numFmtId="0" fontId="0" fillId="0" borderId="24" xfId="0" applyFont="1" applyBorder="1" applyAlignment="1">
      <alignment vertical="center"/>
    </xf>
    <xf numFmtId="0" fontId="0" fillId="0" borderId="25" xfId="0" applyFont="1" applyBorder="1" applyAlignment="1">
      <alignment vertical="center"/>
    </xf>
    <xf numFmtId="0" fontId="0" fillId="0" borderId="26" xfId="0" applyFont="1" applyBorder="1" applyAlignment="1">
      <alignment vertical="center"/>
    </xf>
    <xf numFmtId="0" fontId="0" fillId="0" borderId="22" xfId="0" applyFont="1" applyBorder="1" applyProtection="1">
      <protection locked="0"/>
    </xf>
    <xf numFmtId="0" fontId="0" fillId="0" borderId="27" xfId="0" applyFont="1" applyBorder="1" applyProtection="1">
      <protection locked="0"/>
    </xf>
    <xf numFmtId="0" fontId="0" fillId="0" borderId="37" xfId="0" applyFont="1" applyBorder="1"/>
    <xf numFmtId="0" fontId="0" fillId="0" borderId="0" xfId="0" applyFont="1" applyBorder="1"/>
    <xf numFmtId="0" fontId="0" fillId="0" borderId="5" xfId="0" applyFont="1" applyBorder="1"/>
    <xf numFmtId="3" fontId="0" fillId="0" borderId="66" xfId="0" applyNumberFormat="1" applyFont="1" applyBorder="1" applyAlignment="1" applyProtection="1">
      <alignment horizontal="center" vertical="center"/>
      <protection locked="0"/>
    </xf>
    <xf numFmtId="3" fontId="0" fillId="0" borderId="67" xfId="0" applyNumberFormat="1" applyFont="1" applyBorder="1" applyAlignment="1" applyProtection="1">
      <alignment horizontal="center" vertical="center"/>
      <protection locked="0"/>
    </xf>
    <xf numFmtId="3" fontId="0" fillId="0" borderId="68" xfId="0" applyNumberFormat="1" applyFont="1" applyBorder="1" applyAlignment="1" applyProtection="1">
      <alignment horizontal="center" vertical="center"/>
      <protection locked="0"/>
    </xf>
    <xf numFmtId="3" fontId="0" fillId="0" borderId="7" xfId="0" applyNumberFormat="1" applyFont="1" applyBorder="1" applyAlignment="1" applyProtection="1">
      <alignment horizontal="center" vertical="center"/>
      <protection locked="0"/>
    </xf>
    <xf numFmtId="3" fontId="0" fillId="0" borderId="8" xfId="0" applyNumberFormat="1" applyFont="1" applyBorder="1" applyAlignment="1" applyProtection="1">
      <alignment horizontal="center" vertical="center"/>
      <protection locked="0"/>
    </xf>
    <xf numFmtId="3" fontId="0" fillId="12" borderId="21" xfId="0" applyNumberFormat="1" applyFont="1" applyFill="1" applyBorder="1" applyAlignment="1" applyProtection="1">
      <alignment horizontal="center" vertical="center"/>
    </xf>
    <xf numFmtId="3" fontId="0" fillId="12" borderId="22" xfId="0" applyNumberFormat="1" applyFont="1" applyFill="1" applyBorder="1" applyAlignment="1" applyProtection="1">
      <alignment horizontal="center" vertical="center"/>
    </xf>
    <xf numFmtId="3" fontId="0" fillId="12" borderId="23" xfId="0" applyNumberFormat="1" applyFont="1" applyFill="1" applyBorder="1" applyAlignment="1" applyProtection="1">
      <alignment horizontal="center" vertical="center"/>
    </xf>
    <xf numFmtId="3" fontId="0" fillId="0" borderId="20" xfId="0" applyNumberFormat="1" applyFont="1" applyBorder="1" applyAlignment="1" applyProtection="1">
      <alignment horizontal="center" vertical="center"/>
      <protection locked="0"/>
    </xf>
    <xf numFmtId="3" fontId="0" fillId="0" borderId="18" xfId="0" applyNumberFormat="1" applyFont="1" applyBorder="1" applyAlignment="1" applyProtection="1">
      <alignment horizontal="center" vertical="center"/>
      <protection locked="0"/>
    </xf>
    <xf numFmtId="3" fontId="0" fillId="0" borderId="19" xfId="0" applyNumberFormat="1" applyFont="1" applyBorder="1" applyAlignment="1" applyProtection="1">
      <alignment horizontal="center" vertical="center"/>
      <protection locked="0"/>
    </xf>
    <xf numFmtId="3" fontId="0" fillId="12" borderId="60" xfId="0" applyNumberFormat="1" applyFont="1" applyFill="1" applyBorder="1" applyAlignment="1" applyProtection="1">
      <alignment horizontal="center" vertical="center"/>
    </xf>
    <xf numFmtId="3" fontId="0" fillId="12" borderId="41" xfId="0" applyNumberFormat="1" applyFont="1" applyFill="1" applyBorder="1" applyAlignment="1" applyProtection="1">
      <alignment horizontal="center" vertical="center"/>
    </xf>
    <xf numFmtId="3" fontId="0" fillId="12" borderId="42" xfId="0" applyNumberFormat="1" applyFont="1" applyFill="1" applyBorder="1" applyAlignment="1" applyProtection="1">
      <alignment horizontal="center" vertical="center"/>
    </xf>
    <xf numFmtId="3" fontId="0" fillId="12" borderId="20" xfId="0" applyNumberFormat="1" applyFont="1" applyFill="1" applyBorder="1" applyAlignment="1" applyProtection="1">
      <alignment horizontal="center" vertical="center"/>
    </xf>
    <xf numFmtId="3" fontId="0" fillId="12" borderId="18" xfId="0" applyNumberFormat="1" applyFont="1" applyFill="1" applyBorder="1" applyAlignment="1" applyProtection="1">
      <alignment horizontal="center" vertical="center"/>
    </xf>
    <xf numFmtId="3" fontId="0" fillId="12" borderId="19" xfId="0" applyNumberFormat="1" applyFont="1" applyFill="1" applyBorder="1" applyAlignment="1" applyProtection="1">
      <alignment horizontal="center" vertical="center"/>
    </xf>
    <xf numFmtId="3" fontId="0" fillId="12" borderId="15" xfId="0" applyNumberFormat="1" applyFont="1" applyFill="1" applyBorder="1" applyAlignment="1" applyProtection="1">
      <alignment horizontal="center" vertical="center"/>
    </xf>
    <xf numFmtId="3" fontId="0" fillId="12" borderId="16" xfId="0" applyNumberFormat="1" applyFont="1" applyFill="1" applyBorder="1" applyAlignment="1" applyProtection="1">
      <alignment horizontal="center" vertical="center"/>
    </xf>
    <xf numFmtId="3" fontId="0" fillId="12" borderId="17" xfId="0" applyNumberFormat="1" applyFont="1" applyFill="1" applyBorder="1" applyAlignment="1" applyProtection="1">
      <alignment horizontal="center" vertical="center"/>
    </xf>
    <xf numFmtId="0" fontId="0" fillId="0" borderId="48" xfId="0" applyFont="1" applyBorder="1"/>
    <xf numFmtId="0" fontId="0" fillId="0" borderId="49" xfId="0" applyFont="1" applyBorder="1"/>
    <xf numFmtId="0" fontId="0" fillId="0" borderId="50" xfId="0" applyFont="1" applyBorder="1"/>
    <xf numFmtId="3" fontId="0" fillId="12" borderId="1" xfId="0" applyNumberFormat="1" applyFont="1" applyFill="1" applyBorder="1" applyAlignment="1" applyProtection="1">
      <alignment horizontal="center" vertical="center"/>
    </xf>
    <xf numFmtId="3" fontId="0" fillId="12" borderId="2" xfId="0" applyNumberFormat="1" applyFont="1" applyFill="1" applyBorder="1" applyAlignment="1" applyProtection="1">
      <alignment horizontal="center" vertical="center"/>
    </xf>
    <xf numFmtId="3" fontId="0" fillId="12" borderId="3" xfId="0" applyNumberFormat="1" applyFont="1" applyFill="1" applyBorder="1" applyAlignment="1" applyProtection="1">
      <alignment horizontal="center" vertical="center"/>
    </xf>
    <xf numFmtId="3" fontId="0" fillId="12" borderId="12" xfId="0" applyNumberFormat="1" applyFont="1" applyFill="1" applyBorder="1" applyAlignment="1" applyProtection="1">
      <alignment horizontal="center" vertical="center"/>
    </xf>
    <xf numFmtId="3" fontId="0" fillId="12" borderId="13" xfId="0" applyNumberFormat="1" applyFont="1" applyFill="1" applyBorder="1" applyAlignment="1" applyProtection="1">
      <alignment horizontal="center" vertical="center"/>
    </xf>
    <xf numFmtId="3" fontId="0" fillId="12" borderId="14" xfId="0" applyNumberFormat="1" applyFont="1" applyFill="1" applyBorder="1" applyAlignment="1" applyProtection="1">
      <alignment horizontal="center" vertical="center"/>
    </xf>
    <xf numFmtId="3" fontId="0" fillId="12" borderId="0" xfId="0" applyNumberFormat="1" applyFont="1" applyFill="1" applyBorder="1" applyAlignment="1" applyProtection="1">
      <alignment horizontal="center" vertical="center"/>
    </xf>
    <xf numFmtId="3" fontId="0" fillId="12" borderId="5" xfId="0" applyNumberFormat="1" applyFont="1" applyFill="1" applyBorder="1" applyAlignment="1" applyProtection="1">
      <alignment horizontal="center" vertical="center"/>
    </xf>
    <xf numFmtId="0" fontId="3" fillId="11" borderId="9" xfId="0" applyFont="1" applyFill="1" applyBorder="1" applyAlignment="1">
      <alignment horizontal="center"/>
    </xf>
    <xf numFmtId="0" fontId="3" fillId="11" borderId="10" xfId="0" applyFont="1" applyFill="1" applyBorder="1" applyAlignment="1">
      <alignment horizontal="center"/>
    </xf>
    <xf numFmtId="0" fontId="3" fillId="11" borderId="11" xfId="0" applyFont="1" applyFill="1" applyBorder="1" applyAlignment="1">
      <alignment horizontal="center"/>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horizontal="center" vertical="center"/>
    </xf>
    <xf numFmtId="0" fontId="3" fillId="12" borderId="9" xfId="0" applyFont="1" applyFill="1" applyBorder="1" applyAlignment="1">
      <alignment horizontal="center" vertical="center"/>
    </xf>
    <xf numFmtId="0" fontId="3" fillId="12" borderId="10" xfId="0" applyFont="1" applyFill="1" applyBorder="1" applyAlignment="1">
      <alignment horizontal="center" vertical="center"/>
    </xf>
    <xf numFmtId="0" fontId="3" fillId="12" borderId="11" xfId="0" applyFont="1" applyFill="1" applyBorder="1" applyAlignment="1">
      <alignment horizontal="center" vertical="center"/>
    </xf>
    <xf numFmtId="3" fontId="0" fillId="12" borderId="29" xfId="0" applyNumberFormat="1" applyFont="1" applyFill="1" applyBorder="1" applyAlignment="1" applyProtection="1">
      <alignment horizontal="center" vertical="center"/>
    </xf>
    <xf numFmtId="3" fontId="0" fillId="12" borderId="33" xfId="0" applyNumberFormat="1" applyFont="1" applyFill="1" applyBorder="1" applyAlignment="1" applyProtection="1">
      <alignment horizontal="center" vertical="center"/>
    </xf>
    <xf numFmtId="3" fontId="0" fillId="12" borderId="28" xfId="0" applyNumberFormat="1" applyFont="1" applyFill="1" applyBorder="1" applyAlignment="1" applyProtection="1">
      <alignment horizontal="center" vertical="center"/>
    </xf>
    <xf numFmtId="0" fontId="0" fillId="0" borderId="15" xfId="0" applyFont="1" applyBorder="1" applyAlignment="1">
      <alignment vertical="center"/>
    </xf>
    <xf numFmtId="0" fontId="0" fillId="0" borderId="16" xfId="0" applyFont="1" applyBorder="1" applyAlignment="1">
      <alignment vertical="center"/>
    </xf>
    <xf numFmtId="0" fontId="0" fillId="0" borderId="17" xfId="0" applyFont="1" applyBorder="1" applyAlignment="1">
      <alignment vertical="center"/>
    </xf>
    <xf numFmtId="0" fontId="0" fillId="0" borderId="12" xfId="0" applyFont="1" applyBorder="1" applyAlignment="1">
      <alignment vertical="center"/>
    </xf>
    <xf numFmtId="0" fontId="0" fillId="0" borderId="13" xfId="0" applyFont="1" applyBorder="1" applyAlignment="1">
      <alignment vertical="center"/>
    </xf>
    <xf numFmtId="0" fontId="0" fillId="0" borderId="14" xfId="0" applyFont="1" applyBorder="1" applyAlignment="1">
      <alignment vertical="center"/>
    </xf>
    <xf numFmtId="3" fontId="0" fillId="0" borderId="2" xfId="0" applyNumberFormat="1" applyFont="1" applyBorder="1" applyAlignment="1" applyProtection="1">
      <alignment horizontal="center" vertical="center"/>
      <protection locked="0"/>
    </xf>
    <xf numFmtId="3" fontId="0" fillId="0" borderId="3" xfId="0" applyNumberFormat="1" applyFont="1" applyBorder="1" applyAlignment="1" applyProtection="1">
      <alignment horizontal="center" vertical="center"/>
      <protection locked="0"/>
    </xf>
    <xf numFmtId="3" fontId="0" fillId="0" borderId="1" xfId="0" applyNumberFormat="1" applyFont="1" applyBorder="1" applyAlignment="1" applyProtection="1">
      <alignment horizontal="center" vertical="center"/>
      <protection locked="0"/>
    </xf>
    <xf numFmtId="0" fontId="0" fillId="0" borderId="29" xfId="0" applyFont="1" applyBorder="1" applyAlignment="1">
      <alignment vertical="center"/>
    </xf>
    <xf numFmtId="3" fontId="0" fillId="12" borderId="31" xfId="0" applyNumberFormat="1" applyFont="1" applyFill="1" applyBorder="1" applyAlignment="1" applyProtection="1">
      <alignment horizontal="center" vertical="center"/>
    </xf>
    <xf numFmtId="3" fontId="0" fillId="12" borderId="32" xfId="0" applyNumberFormat="1" applyFont="1" applyFill="1" applyBorder="1" applyAlignment="1" applyProtection="1">
      <alignment horizontal="center" vertical="center"/>
    </xf>
    <xf numFmtId="0" fontId="3" fillId="11" borderId="1" xfId="0" applyFont="1" applyFill="1" applyBorder="1" applyAlignment="1">
      <alignment horizontal="center"/>
    </xf>
    <xf numFmtId="0" fontId="3" fillId="11" borderId="2" xfId="0" applyFont="1" applyFill="1" applyBorder="1" applyAlignment="1">
      <alignment horizontal="center"/>
    </xf>
    <xf numFmtId="0" fontId="3" fillId="11" borderId="3" xfId="0" applyFont="1" applyFill="1" applyBorder="1" applyAlignment="1">
      <alignment horizontal="center"/>
    </xf>
    <xf numFmtId="0" fontId="3" fillId="12" borderId="1" xfId="0" applyFont="1" applyFill="1" applyBorder="1" applyAlignment="1">
      <alignment horizontal="center" vertical="center"/>
    </xf>
    <xf numFmtId="0" fontId="3" fillId="12" borderId="2" xfId="0" applyFont="1" applyFill="1" applyBorder="1" applyAlignment="1">
      <alignment horizontal="center" vertical="center"/>
    </xf>
    <xf numFmtId="0" fontId="3" fillId="12" borderId="3" xfId="0" applyFont="1" applyFill="1" applyBorder="1" applyAlignment="1">
      <alignment horizontal="center" vertical="center"/>
    </xf>
    <xf numFmtId="0" fontId="0" fillId="0" borderId="20" xfId="0" applyFont="1" applyBorder="1" applyAlignment="1">
      <alignment vertical="center"/>
    </xf>
    <xf numFmtId="0" fontId="0" fillId="0" borderId="18" xfId="0" applyFont="1" applyBorder="1" applyAlignment="1">
      <alignment vertical="center"/>
    </xf>
    <xf numFmtId="0" fontId="0" fillId="0" borderId="19" xfId="0" applyFont="1" applyBorder="1" applyAlignment="1">
      <alignment vertical="center"/>
    </xf>
    <xf numFmtId="3" fontId="0" fillId="2" borderId="20" xfId="0" applyNumberFormat="1" applyFont="1" applyFill="1" applyBorder="1" applyAlignment="1">
      <alignment horizontal="center" vertical="center"/>
    </xf>
    <xf numFmtId="3" fontId="0" fillId="2" borderId="18" xfId="0" applyNumberFormat="1" applyFont="1" applyFill="1" applyBorder="1" applyAlignment="1">
      <alignment horizontal="center" vertical="center"/>
    </xf>
    <xf numFmtId="3" fontId="0" fillId="2" borderId="19" xfId="0" applyNumberFormat="1"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0" fillId="0" borderId="1" xfId="0" applyFont="1" applyBorder="1" applyAlignment="1">
      <alignment vertical="center"/>
    </xf>
    <xf numFmtId="0" fontId="0" fillId="0" borderId="2" xfId="0" applyFont="1" applyBorder="1" applyAlignment="1">
      <alignment vertical="center"/>
    </xf>
    <xf numFmtId="0" fontId="0" fillId="0" borderId="3" xfId="0" applyFont="1" applyBorder="1" applyAlignment="1">
      <alignment vertical="center"/>
    </xf>
    <xf numFmtId="3" fontId="0" fillId="0" borderId="4" xfId="0" applyNumberFormat="1" applyFont="1" applyBorder="1" applyAlignment="1" applyProtection="1">
      <alignment horizontal="center" vertical="center"/>
      <protection locked="0"/>
    </xf>
    <xf numFmtId="3" fontId="0" fillId="0" borderId="0" xfId="0" applyNumberFormat="1" applyFont="1" applyBorder="1" applyAlignment="1" applyProtection="1">
      <alignment horizontal="center" vertical="center"/>
      <protection locked="0"/>
    </xf>
    <xf numFmtId="3" fontId="0" fillId="0" borderId="5" xfId="0" applyNumberFormat="1" applyFont="1" applyBorder="1" applyAlignment="1" applyProtection="1">
      <alignment horizontal="center" vertical="center"/>
      <protection locked="0"/>
    </xf>
    <xf numFmtId="0" fontId="0" fillId="0" borderId="48" xfId="0" applyFont="1" applyBorder="1" applyAlignment="1">
      <alignment vertical="center"/>
    </xf>
    <xf numFmtId="0" fontId="0" fillId="0" borderId="49" xfId="0" applyFont="1" applyBorder="1" applyAlignment="1">
      <alignment vertical="center"/>
    </xf>
    <xf numFmtId="0" fontId="0" fillId="0" borderId="50" xfId="0" applyFont="1" applyBorder="1" applyAlignment="1">
      <alignment vertical="center"/>
    </xf>
    <xf numFmtId="3" fontId="0" fillId="12" borderId="6" xfId="0" applyNumberFormat="1" applyFont="1" applyFill="1" applyBorder="1" applyAlignment="1" applyProtection="1">
      <alignment horizontal="center" vertical="center"/>
    </xf>
    <xf numFmtId="3" fontId="0" fillId="12" borderId="7" xfId="0" applyNumberFormat="1" applyFont="1" applyFill="1" applyBorder="1" applyAlignment="1" applyProtection="1">
      <alignment horizontal="center" vertical="center"/>
    </xf>
    <xf numFmtId="3" fontId="0" fillId="12" borderId="8" xfId="0" applyNumberFormat="1" applyFont="1" applyFill="1" applyBorder="1" applyAlignment="1" applyProtection="1">
      <alignment horizontal="center" vertical="center"/>
    </xf>
    <xf numFmtId="0" fontId="0" fillId="0" borderId="52" xfId="0" applyFont="1" applyBorder="1" applyAlignment="1">
      <alignment vertical="center"/>
    </xf>
    <xf numFmtId="0" fontId="0" fillId="0" borderId="53" xfId="0" applyFont="1" applyBorder="1" applyAlignment="1">
      <alignment vertical="center"/>
    </xf>
    <xf numFmtId="0" fontId="0" fillId="0" borderId="54" xfId="0" applyFont="1" applyBorder="1" applyAlignment="1">
      <alignment vertical="center"/>
    </xf>
    <xf numFmtId="3" fontId="0" fillId="12" borderId="10" xfId="0" applyNumberFormat="1" applyFont="1" applyFill="1" applyBorder="1" applyAlignment="1" applyProtection="1">
      <alignment horizontal="center" vertical="center"/>
      <protection locked="0"/>
    </xf>
    <xf numFmtId="3" fontId="0" fillId="12" borderId="11" xfId="0" applyNumberFormat="1" applyFont="1" applyFill="1" applyBorder="1" applyAlignment="1" applyProtection="1">
      <alignment horizontal="center" vertical="center"/>
      <protection locked="0"/>
    </xf>
    <xf numFmtId="3" fontId="0" fillId="12" borderId="9" xfId="0" applyNumberFormat="1" applyFont="1" applyFill="1" applyBorder="1" applyAlignment="1" applyProtection="1">
      <alignment horizontal="center" vertical="center"/>
      <protection locked="0"/>
    </xf>
    <xf numFmtId="3" fontId="0" fillId="12" borderId="52" xfId="0" applyNumberFormat="1" applyFont="1" applyFill="1" applyBorder="1" applyAlignment="1" applyProtection="1">
      <alignment horizontal="center" vertical="center"/>
    </xf>
    <xf numFmtId="3" fontId="0" fillId="12" borderId="53" xfId="0" applyNumberFormat="1" applyFont="1" applyFill="1" applyBorder="1" applyAlignment="1" applyProtection="1">
      <alignment horizontal="center" vertical="center"/>
    </xf>
    <xf numFmtId="3" fontId="0" fillId="12" borderId="54" xfId="0" applyNumberFormat="1" applyFont="1" applyFill="1" applyBorder="1" applyAlignment="1" applyProtection="1">
      <alignment horizontal="center" vertical="center"/>
    </xf>
    <xf numFmtId="0" fontId="0" fillId="0" borderId="46" xfId="0" applyFont="1" applyBorder="1" applyAlignment="1">
      <alignment vertical="center"/>
    </xf>
    <xf numFmtId="0" fontId="0" fillId="0" borderId="51" xfId="0" applyFont="1" applyBorder="1" applyAlignment="1">
      <alignment vertical="center"/>
    </xf>
    <xf numFmtId="0" fontId="0" fillId="0" borderId="47" xfId="0" applyFont="1" applyBorder="1" applyAlignment="1">
      <alignment vertical="center"/>
    </xf>
    <xf numFmtId="3" fontId="0" fillId="12" borderId="46" xfId="0" applyNumberFormat="1" applyFont="1" applyFill="1" applyBorder="1" applyAlignment="1" applyProtection="1">
      <alignment horizontal="center" vertical="center"/>
    </xf>
    <xf numFmtId="3" fontId="0" fillId="12" borderId="51" xfId="0" applyNumberFormat="1" applyFont="1" applyFill="1" applyBorder="1" applyAlignment="1" applyProtection="1">
      <alignment horizontal="center" vertical="center"/>
    </xf>
    <xf numFmtId="3" fontId="0" fillId="12" borderId="47" xfId="0" applyNumberFormat="1" applyFont="1" applyFill="1" applyBorder="1" applyAlignment="1" applyProtection="1">
      <alignment horizontal="center"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18" fillId="0" borderId="0"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0" fontId="0" fillId="0" borderId="1" xfId="0" applyFont="1" applyBorder="1" applyAlignment="1" applyProtection="1">
      <alignment horizontal="center" vertical="center"/>
      <protection locked="0"/>
    </xf>
    <xf numFmtId="0" fontId="0" fillId="0" borderId="2" xfId="0" applyFont="1" applyBorder="1" applyAlignment="1" applyProtection="1">
      <alignment horizontal="center" vertical="center"/>
      <protection locked="0"/>
    </xf>
    <xf numFmtId="0" fontId="0" fillId="0" borderId="3" xfId="0" applyFont="1" applyBorder="1" applyAlignment="1" applyProtection="1">
      <alignment horizontal="center" vertical="center"/>
      <protection locked="0"/>
    </xf>
    <xf numFmtId="0" fontId="0" fillId="0" borderId="6" xfId="0" applyFont="1" applyBorder="1" applyAlignment="1" applyProtection="1">
      <alignment horizontal="center" vertical="center"/>
      <protection locked="0"/>
    </xf>
    <xf numFmtId="0" fontId="0" fillId="0" borderId="7" xfId="0" applyFont="1" applyBorder="1" applyAlignment="1" applyProtection="1">
      <alignment horizontal="center" vertical="center"/>
      <protection locked="0"/>
    </xf>
    <xf numFmtId="0" fontId="0" fillId="0" borderId="8" xfId="0" applyFont="1" applyBorder="1" applyAlignment="1" applyProtection="1">
      <alignment horizontal="center" vertical="center"/>
      <protection locked="0"/>
    </xf>
    <xf numFmtId="3" fontId="0" fillId="12" borderId="48" xfId="0" applyNumberFormat="1" applyFont="1" applyFill="1" applyBorder="1" applyAlignment="1" applyProtection="1">
      <alignment horizontal="center" vertical="center"/>
    </xf>
    <xf numFmtId="3" fontId="0" fillId="12" borderId="49" xfId="0" applyNumberFormat="1" applyFont="1" applyFill="1" applyBorder="1" applyAlignment="1" applyProtection="1">
      <alignment horizontal="center" vertical="center"/>
    </xf>
    <xf numFmtId="3" fontId="0" fillId="12" borderId="50" xfId="0" applyNumberFormat="1" applyFont="1" applyFill="1" applyBorder="1" applyAlignment="1" applyProtection="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 fillId="9" borderId="58" xfId="0" applyFont="1" applyFill="1" applyBorder="1" applyAlignment="1">
      <alignment horizontal="center" vertical="center"/>
    </xf>
    <xf numFmtId="0" fontId="1" fillId="9" borderId="59" xfId="0" applyFont="1" applyFill="1" applyBorder="1" applyAlignment="1">
      <alignment horizontal="center" vertical="center"/>
    </xf>
    <xf numFmtId="0" fontId="1" fillId="7" borderId="12" xfId="0" applyFont="1" applyFill="1" applyBorder="1" applyAlignment="1">
      <alignment horizontal="center" vertical="center" shrinkToFit="1"/>
    </xf>
    <xf numFmtId="0" fontId="1" fillId="7" borderId="14" xfId="0" applyFont="1" applyFill="1" applyBorder="1" applyAlignment="1">
      <alignment horizontal="center" vertical="center" shrinkToFit="1"/>
    </xf>
    <xf numFmtId="164" fontId="12" fillId="0" borderId="15" xfId="0" applyNumberFormat="1" applyFont="1" applyBorder="1" applyAlignment="1" applyProtection="1">
      <alignment horizontal="center" vertical="center" shrinkToFit="1"/>
    </xf>
    <xf numFmtId="164" fontId="12" fillId="0" borderId="17" xfId="0" applyNumberFormat="1" applyFont="1" applyBorder="1" applyAlignment="1" applyProtection="1">
      <alignment horizontal="center" vertical="center" shrinkToFit="1"/>
    </xf>
    <xf numFmtId="164" fontId="12" fillId="0" borderId="24" xfId="0" applyNumberFormat="1" applyFont="1" applyBorder="1" applyAlignment="1" applyProtection="1">
      <alignment horizontal="center" vertical="center" shrinkToFit="1"/>
    </xf>
    <xf numFmtId="164" fontId="12" fillId="0" borderId="26" xfId="0" applyNumberFormat="1" applyFont="1" applyBorder="1" applyAlignment="1" applyProtection="1">
      <alignment horizontal="center" vertical="center" shrinkToFit="1"/>
    </xf>
    <xf numFmtId="164" fontId="12" fillId="0" borderId="15" xfId="0" applyNumberFormat="1" applyFont="1" applyBorder="1" applyAlignment="1">
      <alignment horizontal="center" vertical="center"/>
    </xf>
    <xf numFmtId="164" fontId="12" fillId="0" borderId="17" xfId="0" applyNumberFormat="1" applyFont="1" applyBorder="1" applyAlignment="1">
      <alignment horizontal="center" vertical="center"/>
    </xf>
    <xf numFmtId="164" fontId="12" fillId="0" borderId="24" xfId="0" applyNumberFormat="1" applyFont="1" applyBorder="1" applyAlignment="1">
      <alignment horizontal="center" vertical="center"/>
    </xf>
    <xf numFmtId="164" fontId="12" fillId="0" borderId="26" xfId="0" applyNumberFormat="1" applyFont="1" applyBorder="1" applyAlignment="1">
      <alignment horizontal="center" vertical="center"/>
    </xf>
    <xf numFmtId="164" fontId="12" fillId="0" borderId="16" xfId="0" applyNumberFormat="1" applyFont="1" applyBorder="1" applyAlignment="1">
      <alignment horizontal="center" vertical="center"/>
    </xf>
    <xf numFmtId="164" fontId="12" fillId="0" borderId="25" xfId="0" applyNumberFormat="1" applyFont="1" applyBorder="1" applyAlignment="1">
      <alignment horizontal="center" vertical="center"/>
    </xf>
    <xf numFmtId="0" fontId="1" fillId="7" borderId="12" xfId="0" applyFont="1" applyFill="1" applyBorder="1" applyAlignment="1">
      <alignment horizontal="center"/>
    </xf>
    <xf numFmtId="0" fontId="1" fillId="7" borderId="13" xfId="0" applyFont="1" applyFill="1" applyBorder="1" applyAlignment="1">
      <alignment horizontal="center"/>
    </xf>
    <xf numFmtId="0" fontId="1" fillId="7" borderId="14" xfId="0" applyFont="1" applyFill="1" applyBorder="1" applyAlignment="1">
      <alignment horizontal="center"/>
    </xf>
    <xf numFmtId="0" fontId="12" fillId="0" borderId="17" xfId="0" applyFont="1" applyBorder="1" applyAlignment="1">
      <alignment horizontal="center" vertical="center"/>
    </xf>
    <xf numFmtId="0" fontId="12" fillId="0" borderId="26" xfId="0" applyFont="1" applyBorder="1" applyAlignment="1">
      <alignment horizontal="center" vertical="center"/>
    </xf>
    <xf numFmtId="14" fontId="0" fillId="0" borderId="1" xfId="0" applyNumberFormat="1" applyFont="1" applyBorder="1" applyAlignment="1" applyProtection="1">
      <alignment horizontal="center" vertical="center"/>
      <protection locked="0"/>
    </xf>
    <xf numFmtId="14" fontId="0" fillId="0" borderId="2" xfId="0" applyNumberFormat="1" applyFont="1" applyBorder="1" applyAlignment="1" applyProtection="1">
      <alignment horizontal="center" vertical="center"/>
      <protection locked="0"/>
    </xf>
    <xf numFmtId="14" fontId="0" fillId="0" borderId="3" xfId="0" applyNumberFormat="1" applyFont="1" applyBorder="1" applyAlignment="1" applyProtection="1">
      <alignment horizontal="center" vertical="center"/>
      <protection locked="0"/>
    </xf>
    <xf numFmtId="14" fontId="0" fillId="0" borderId="6" xfId="0" applyNumberFormat="1" applyFont="1" applyBorder="1" applyAlignment="1" applyProtection="1">
      <alignment horizontal="center" vertical="center"/>
      <protection locked="0"/>
    </xf>
    <xf numFmtId="14" fontId="0" fillId="0" borderId="7" xfId="0" applyNumberFormat="1" applyFont="1" applyBorder="1" applyAlignment="1" applyProtection="1">
      <alignment horizontal="center" vertical="center"/>
      <protection locked="0"/>
    </xf>
    <xf numFmtId="14" fontId="0" fillId="0" borderId="8" xfId="0" applyNumberFormat="1" applyFont="1" applyBorder="1" applyAlignment="1" applyProtection="1">
      <alignment horizontal="center" vertical="center"/>
      <protection locked="0"/>
    </xf>
    <xf numFmtId="0" fontId="9" fillId="7" borderId="15" xfId="0" applyFont="1" applyFill="1" applyBorder="1" applyAlignment="1">
      <alignment horizontal="center" vertical="center"/>
    </xf>
    <xf numFmtId="0" fontId="9" fillId="7" borderId="18" xfId="0" applyFont="1" applyFill="1" applyBorder="1" applyAlignment="1">
      <alignment horizontal="center" vertical="center"/>
    </xf>
    <xf numFmtId="0" fontId="9" fillId="7" borderId="17" xfId="0" applyFont="1" applyFill="1" applyBorder="1" applyAlignment="1">
      <alignment horizontal="center" vertical="center"/>
    </xf>
    <xf numFmtId="0" fontId="9" fillId="7" borderId="24" xfId="0" applyFont="1" applyFill="1" applyBorder="1" applyAlignment="1">
      <alignment horizontal="center" vertical="center"/>
    </xf>
    <xf numFmtId="0" fontId="9" fillId="7" borderId="29" xfId="0" applyFont="1" applyFill="1" applyBorder="1" applyAlignment="1">
      <alignment horizontal="center" vertical="center"/>
    </xf>
    <xf numFmtId="0" fontId="9" fillId="7" borderId="26" xfId="0" applyFont="1" applyFill="1" applyBorder="1" applyAlignment="1">
      <alignment horizontal="center" vertical="center"/>
    </xf>
    <xf numFmtId="164" fontId="9" fillId="7" borderId="34" xfId="0" applyNumberFormat="1" applyFont="1" applyFill="1" applyBorder="1" applyAlignment="1">
      <alignment horizontal="center" vertical="center"/>
    </xf>
    <xf numFmtId="164" fontId="9" fillId="7" borderId="36" xfId="0" applyNumberFormat="1" applyFont="1" applyFill="1" applyBorder="1" applyAlignment="1">
      <alignment horizontal="center" vertical="center"/>
    </xf>
    <xf numFmtId="164" fontId="9" fillId="7" borderId="4" xfId="0" applyNumberFormat="1" applyFont="1" applyFill="1" applyBorder="1" applyAlignment="1">
      <alignment horizontal="center" vertical="center"/>
    </xf>
    <xf numFmtId="164" fontId="9" fillId="7" borderId="5" xfId="0" applyNumberFormat="1" applyFont="1" applyFill="1" applyBorder="1" applyAlignment="1">
      <alignment horizontal="center" vertical="center"/>
    </xf>
    <xf numFmtId="164" fontId="9" fillId="7" borderId="6" xfId="0" applyNumberFormat="1" applyFont="1" applyFill="1" applyBorder="1" applyAlignment="1">
      <alignment horizontal="center" vertical="center"/>
    </xf>
    <xf numFmtId="164" fontId="9" fillId="7" borderId="8" xfId="0" applyNumberFormat="1" applyFont="1" applyFill="1" applyBorder="1" applyAlignment="1">
      <alignment horizontal="center" vertical="center"/>
    </xf>
    <xf numFmtId="164" fontId="9" fillId="7" borderId="57" xfId="0" applyNumberFormat="1" applyFont="1" applyFill="1" applyBorder="1" applyAlignment="1">
      <alignment horizontal="center" vertical="center"/>
    </xf>
    <xf numFmtId="164" fontId="9" fillId="7" borderId="55" xfId="0" applyNumberFormat="1" applyFont="1" applyFill="1" applyBorder="1" applyAlignment="1">
      <alignment horizontal="center" vertical="center"/>
    </xf>
    <xf numFmtId="164" fontId="9" fillId="7" borderId="62" xfId="0" applyNumberFormat="1" applyFont="1" applyFill="1" applyBorder="1" applyAlignment="1">
      <alignment horizontal="center" vertical="center"/>
    </xf>
    <xf numFmtId="0" fontId="16" fillId="8" borderId="0" xfId="0" applyFont="1" applyFill="1" applyAlignment="1">
      <alignment horizontal="center" vertical="center"/>
    </xf>
    <xf numFmtId="0" fontId="0" fillId="10" borderId="12"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0" fillId="10" borderId="15" xfId="0" applyFill="1" applyBorder="1" applyAlignment="1">
      <alignment horizontal="center" vertical="center"/>
    </xf>
    <xf numFmtId="0" fontId="0" fillId="10" borderId="18" xfId="0" applyFill="1" applyBorder="1" applyAlignment="1">
      <alignment horizontal="center" vertical="center"/>
    </xf>
    <xf numFmtId="0" fontId="0" fillId="10" borderId="17" xfId="0" applyFill="1" applyBorder="1" applyAlignment="1">
      <alignment horizontal="center" vertical="center"/>
    </xf>
    <xf numFmtId="0" fontId="8" fillId="4" borderId="0" xfId="0" applyFont="1" applyFill="1" applyAlignment="1">
      <alignment horizontal="center" vertical="center" wrapText="1"/>
    </xf>
    <xf numFmtId="0" fontId="1" fillId="7" borderId="16" xfId="0" applyFont="1" applyFill="1" applyBorder="1" applyAlignment="1">
      <alignment horizontal="center"/>
    </xf>
    <xf numFmtId="164" fontId="12" fillId="10" borderId="12" xfId="0" applyNumberFormat="1" applyFont="1" applyFill="1" applyBorder="1" applyAlignment="1">
      <alignment horizontal="center" vertical="center"/>
    </xf>
    <xf numFmtId="0" fontId="12" fillId="10" borderId="14" xfId="0" applyFont="1" applyFill="1" applyBorder="1" applyAlignment="1">
      <alignment horizontal="center" vertical="center"/>
    </xf>
    <xf numFmtId="0" fontId="12" fillId="10" borderId="15" xfId="0" applyFont="1" applyFill="1" applyBorder="1" applyAlignment="1">
      <alignment horizontal="center" vertical="center"/>
    </xf>
    <xf numFmtId="0" fontId="12" fillId="10" borderId="17" xfId="0" applyFont="1" applyFill="1" applyBorder="1" applyAlignment="1">
      <alignment horizontal="center" vertical="center"/>
    </xf>
    <xf numFmtId="164" fontId="12" fillId="10" borderId="15" xfId="0" applyNumberFormat="1" applyFont="1" applyFill="1" applyBorder="1" applyAlignment="1">
      <alignment horizontal="center" vertical="center"/>
    </xf>
    <xf numFmtId="164" fontId="12" fillId="6" borderId="12"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12" fillId="6" borderId="15" xfId="0" applyFont="1" applyFill="1" applyBorder="1" applyAlignment="1">
      <alignment horizontal="center" vertical="center"/>
    </xf>
    <xf numFmtId="0" fontId="12" fillId="6" borderId="16" xfId="0" applyFont="1" applyFill="1" applyBorder="1" applyAlignment="1">
      <alignment horizontal="center" vertical="center"/>
    </xf>
    <xf numFmtId="164" fontId="12" fillId="6" borderId="15" xfId="0" applyNumberFormat="1" applyFont="1" applyFill="1" applyBorder="1" applyAlignment="1">
      <alignment horizontal="center" vertical="center"/>
    </xf>
    <xf numFmtId="0" fontId="7" fillId="5" borderId="14" xfId="0" applyFont="1" applyFill="1" applyBorder="1" applyAlignment="1">
      <alignment horizontal="center" vertical="center"/>
    </xf>
    <xf numFmtId="0" fontId="7" fillId="5" borderId="17" xfId="0" applyFont="1" applyFill="1" applyBorder="1" applyAlignment="1">
      <alignment horizontal="center" vertical="center"/>
    </xf>
    <xf numFmtId="0" fontId="17" fillId="8" borderId="1" xfId="0" applyFont="1" applyFill="1" applyBorder="1" applyAlignment="1">
      <alignment horizontal="center" vertical="center"/>
    </xf>
    <xf numFmtId="0" fontId="17" fillId="8" borderId="2" xfId="0" applyFont="1" applyFill="1" applyBorder="1" applyAlignment="1">
      <alignment horizontal="center" vertical="center"/>
    </xf>
    <xf numFmtId="0" fontId="17" fillId="8" borderId="3" xfId="0" applyFont="1" applyFill="1" applyBorder="1" applyAlignment="1">
      <alignment horizontal="center" vertical="center"/>
    </xf>
    <xf numFmtId="0" fontId="17" fillId="8" borderId="6" xfId="0" applyFont="1" applyFill="1" applyBorder="1" applyAlignment="1">
      <alignment horizontal="center" vertical="center"/>
    </xf>
    <xf numFmtId="0" fontId="17" fillId="8" borderId="7" xfId="0" applyFont="1" applyFill="1" applyBorder="1" applyAlignment="1">
      <alignment horizontal="center" vertical="center"/>
    </xf>
    <xf numFmtId="0" fontId="17" fillId="8" borderId="8"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38" xfId="0" applyFont="1" applyFill="1" applyBorder="1" applyAlignment="1">
      <alignment horizontal="center" vertical="center"/>
    </xf>
    <xf numFmtId="0" fontId="1" fillId="7" borderId="14" xfId="0" applyFont="1" applyFill="1" applyBorder="1" applyAlignment="1">
      <alignment horizontal="center" vertical="center"/>
    </xf>
    <xf numFmtId="164" fontId="12" fillId="0" borderId="15" xfId="0" applyNumberFormat="1" applyFont="1" applyBorder="1" applyAlignment="1" applyProtection="1">
      <alignment horizontal="center" vertical="center"/>
    </xf>
    <xf numFmtId="164" fontId="12" fillId="0" borderId="18" xfId="0" applyNumberFormat="1" applyFont="1" applyBorder="1" applyAlignment="1" applyProtection="1">
      <alignment horizontal="center" vertical="center"/>
    </xf>
    <xf numFmtId="164" fontId="12" fillId="0" borderId="17" xfId="0" applyNumberFormat="1" applyFont="1" applyBorder="1" applyAlignment="1" applyProtection="1">
      <alignment horizontal="center" vertical="center"/>
    </xf>
    <xf numFmtId="164" fontId="12" fillId="0" borderId="24" xfId="0" applyNumberFormat="1" applyFont="1" applyBorder="1" applyAlignment="1" applyProtection="1">
      <alignment horizontal="center" vertical="center"/>
    </xf>
    <xf numFmtId="164" fontId="12" fillId="0" borderId="29" xfId="0" applyNumberFormat="1" applyFont="1" applyBorder="1" applyAlignment="1" applyProtection="1">
      <alignment horizontal="center" vertical="center"/>
    </xf>
    <xf numFmtId="164" fontId="12" fillId="0" borderId="26" xfId="0" applyNumberFormat="1" applyFont="1" applyBorder="1" applyAlignment="1" applyProtection="1">
      <alignment horizontal="center" vertical="center"/>
    </xf>
    <xf numFmtId="0" fontId="0" fillId="10" borderId="34" xfId="0" applyFill="1" applyBorder="1" applyAlignment="1">
      <alignment horizontal="center" vertical="center"/>
    </xf>
    <xf numFmtId="0" fontId="0" fillId="10" borderId="35" xfId="0" applyFill="1" applyBorder="1" applyAlignment="1">
      <alignment horizontal="center" vertical="center"/>
    </xf>
    <xf numFmtId="0" fontId="0" fillId="10" borderId="36" xfId="0" applyFill="1" applyBorder="1" applyAlignment="1">
      <alignment horizontal="center" vertical="center"/>
    </xf>
    <xf numFmtId="0" fontId="0" fillId="10" borderId="60" xfId="0" applyFill="1" applyBorder="1" applyAlignment="1">
      <alignment horizontal="center" vertical="center"/>
    </xf>
    <xf numFmtId="0" fontId="0" fillId="10" borderId="41" xfId="0" applyFill="1" applyBorder="1" applyAlignment="1">
      <alignment horizontal="center" vertical="center"/>
    </xf>
    <xf numFmtId="0" fontId="0" fillId="10" borderId="42" xfId="0" applyFill="1" applyBorder="1" applyAlignment="1">
      <alignment horizontal="center" vertical="center"/>
    </xf>
    <xf numFmtId="164" fontId="12" fillId="10" borderId="34" xfId="0" applyNumberFormat="1" applyFont="1" applyFill="1" applyBorder="1" applyAlignment="1">
      <alignment horizontal="center" vertical="center"/>
    </xf>
    <xf numFmtId="164" fontId="12" fillId="10" borderId="36" xfId="0" applyNumberFormat="1" applyFont="1" applyFill="1" applyBorder="1" applyAlignment="1">
      <alignment horizontal="center" vertical="center"/>
    </xf>
    <xf numFmtId="164" fontId="12" fillId="10" borderId="60" xfId="0" applyNumberFormat="1" applyFont="1" applyFill="1" applyBorder="1" applyAlignment="1">
      <alignment horizontal="center" vertical="center"/>
    </xf>
    <xf numFmtId="164" fontId="12" fillId="10" borderId="42" xfId="0" applyNumberFormat="1" applyFont="1" applyFill="1" applyBorder="1" applyAlignment="1">
      <alignment horizontal="center" vertical="center"/>
    </xf>
    <xf numFmtId="164" fontId="12" fillId="6" borderId="16" xfId="0" applyNumberFormat="1" applyFont="1" applyFill="1" applyBorder="1" applyAlignment="1">
      <alignment horizontal="center" vertical="center"/>
    </xf>
    <xf numFmtId="0" fontId="12" fillId="6" borderId="17" xfId="0" applyFont="1" applyFill="1" applyBorder="1" applyAlignment="1">
      <alignment horizontal="center" vertical="center"/>
    </xf>
    <xf numFmtId="164" fontId="9" fillId="7" borderId="16" xfId="0" applyNumberFormat="1" applyFont="1" applyFill="1" applyBorder="1" applyAlignment="1">
      <alignment horizontal="center" vertical="center"/>
    </xf>
    <xf numFmtId="164" fontId="9" fillId="7" borderId="25" xfId="0" applyNumberFormat="1" applyFont="1" applyFill="1" applyBorder="1" applyAlignment="1">
      <alignment horizontal="center" vertical="center"/>
    </xf>
    <xf numFmtId="164" fontId="9" fillId="7" borderId="15" xfId="0" applyNumberFormat="1" applyFont="1" applyFill="1" applyBorder="1" applyAlignment="1">
      <alignment horizontal="center" vertical="center"/>
    </xf>
    <xf numFmtId="164" fontId="9" fillId="7" borderId="17" xfId="0" applyNumberFormat="1" applyFont="1" applyFill="1" applyBorder="1" applyAlignment="1">
      <alignment horizontal="center" vertical="center"/>
    </xf>
    <xf numFmtId="164" fontId="9" fillId="7" borderId="24" xfId="0" applyNumberFormat="1" applyFont="1" applyFill="1" applyBorder="1" applyAlignment="1">
      <alignment horizontal="center" vertical="center"/>
    </xf>
    <xf numFmtId="164" fontId="9" fillId="7" borderId="26" xfId="0" applyNumberFormat="1" applyFont="1" applyFill="1" applyBorder="1" applyAlignment="1">
      <alignment horizontal="center" vertical="center"/>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25" xfId="0" applyFont="1" applyFill="1" applyBorder="1" applyAlignment="1">
      <alignment horizontal="center" vertical="center" wrapText="1"/>
    </xf>
    <xf numFmtId="0" fontId="1" fillId="7" borderId="26" xfId="0" applyFont="1" applyFill="1" applyBorder="1" applyAlignment="1">
      <alignment horizontal="center" vertical="center" wrapText="1"/>
    </xf>
    <xf numFmtId="164" fontId="12" fillId="6" borderId="17" xfId="0" applyNumberFormat="1" applyFont="1" applyFill="1" applyBorder="1" applyAlignment="1">
      <alignment horizontal="center" vertical="center"/>
    </xf>
    <xf numFmtId="164" fontId="2" fillId="7" borderId="64" xfId="0" applyNumberFormat="1" applyFont="1" applyFill="1" applyBorder="1" applyAlignment="1">
      <alignment horizontal="center" vertical="center"/>
    </xf>
    <xf numFmtId="164" fontId="2" fillId="7" borderId="65" xfId="0" applyNumberFormat="1" applyFont="1" applyFill="1" applyBorder="1" applyAlignment="1">
      <alignment horizontal="center" vertical="center"/>
    </xf>
    <xf numFmtId="164" fontId="9" fillId="7" borderId="15" xfId="0" applyNumberFormat="1" applyFont="1" applyFill="1" applyBorder="1" applyAlignment="1">
      <alignment horizontal="center" vertical="center" shrinkToFit="1"/>
    </xf>
    <xf numFmtId="164" fontId="9" fillId="7" borderId="24" xfId="0" applyNumberFormat="1" applyFont="1" applyFill="1" applyBorder="1" applyAlignment="1">
      <alignment horizontal="center" vertical="center" shrinkToFit="1"/>
    </xf>
    <xf numFmtId="0" fontId="14" fillId="6" borderId="63" xfId="0" applyFont="1" applyFill="1" applyBorder="1" applyAlignment="1">
      <alignment horizontal="center" vertical="center"/>
    </xf>
    <xf numFmtId="0" fontId="14" fillId="6" borderId="64" xfId="0" applyFont="1" applyFill="1" applyBorder="1" applyAlignment="1">
      <alignment horizontal="center" vertical="center"/>
    </xf>
    <xf numFmtId="164" fontId="13" fillId="6" borderId="63" xfId="0" applyNumberFormat="1" applyFont="1" applyFill="1" applyBorder="1" applyAlignment="1">
      <alignment horizontal="center" vertical="center"/>
    </xf>
    <xf numFmtId="164" fontId="13" fillId="6" borderId="64" xfId="0" applyNumberFormat="1" applyFont="1" applyFill="1" applyBorder="1" applyAlignment="1">
      <alignment horizontal="center" vertical="center"/>
    </xf>
    <xf numFmtId="0" fontId="12" fillId="6" borderId="14" xfId="0" applyFont="1" applyFill="1" applyBorder="1" applyAlignment="1">
      <alignment horizontal="center" vertical="center"/>
    </xf>
    <xf numFmtId="0" fontId="0" fillId="4" borderId="0" xfId="0" applyFill="1" applyAlignment="1">
      <alignment horizontal="left" vertical="center" wrapText="1"/>
    </xf>
    <xf numFmtId="0" fontId="0" fillId="4" borderId="7" xfId="0" applyFill="1" applyBorder="1" applyAlignment="1">
      <alignment horizontal="left" vertical="center" wrapText="1"/>
    </xf>
    <xf numFmtId="0" fontId="11" fillId="8" borderId="0" xfId="0" applyFont="1" applyFill="1" applyAlignment="1">
      <alignment horizontal="center" vertical="center"/>
    </xf>
    <xf numFmtId="0" fontId="0" fillId="0" borderId="56" xfId="0" applyBorder="1" applyAlignment="1">
      <alignment horizontal="left" vertical="center"/>
    </xf>
    <xf numFmtId="0" fontId="0" fillId="0" borderId="18" xfId="0" applyBorder="1" applyAlignment="1">
      <alignment horizontal="left" vertical="center"/>
    </xf>
    <xf numFmtId="0" fontId="0" fillId="0" borderId="61" xfId="0" applyBorder="1" applyAlignment="1">
      <alignment horizontal="left" vertical="center"/>
    </xf>
    <xf numFmtId="3" fontId="0" fillId="0" borderId="18" xfId="0" applyNumberFormat="1" applyBorder="1" applyAlignment="1">
      <alignment horizontal="center"/>
    </xf>
    <xf numFmtId="0" fontId="0" fillId="0" borderId="61" xfId="0" applyBorder="1" applyAlignment="1">
      <alignment horizontal="center"/>
    </xf>
    <xf numFmtId="3" fontId="0" fillId="0" borderId="61" xfId="0" applyNumberFormat="1" applyBorder="1" applyAlignment="1">
      <alignment horizontal="center"/>
    </xf>
    <xf numFmtId="0" fontId="1" fillId="7" borderId="63" xfId="0" applyFont="1" applyFill="1" applyBorder="1" applyAlignment="1">
      <alignment horizontal="center" vertical="center" wrapText="1"/>
    </xf>
    <xf numFmtId="0" fontId="1" fillId="7" borderId="65"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24" xfId="0" applyFont="1" applyFill="1" applyBorder="1" applyAlignment="1">
      <alignment horizontal="center" vertical="center" wrapText="1"/>
    </xf>
    <xf numFmtId="164" fontId="12" fillId="6" borderId="12" xfId="0" applyNumberFormat="1" applyFont="1" applyFill="1" applyBorder="1" applyAlignment="1">
      <alignment horizontal="center" vertical="center" shrinkToFit="1"/>
    </xf>
    <xf numFmtId="164" fontId="12" fillId="6" borderId="15" xfId="0" applyNumberFormat="1" applyFont="1" applyFill="1" applyBorder="1" applyAlignment="1">
      <alignment horizontal="center" vertical="center" shrinkToFit="1"/>
    </xf>
    <xf numFmtId="164" fontId="12" fillId="6" borderId="13" xfId="0" applyNumberFormat="1" applyFont="1" applyFill="1" applyBorder="1" applyAlignment="1">
      <alignment horizontal="center" vertical="center"/>
    </xf>
    <xf numFmtId="164" fontId="9" fillId="7" borderId="64" xfId="0" applyNumberFormat="1" applyFont="1" applyFill="1" applyBorder="1" applyAlignment="1">
      <alignment horizontal="center" vertical="center" shrinkToFit="1"/>
    </xf>
    <xf numFmtId="164" fontId="9" fillId="7" borderId="65" xfId="0" applyNumberFormat="1" applyFont="1" applyFill="1" applyBorder="1" applyAlignment="1">
      <alignment horizontal="center" vertical="center" shrinkToFit="1"/>
    </xf>
  </cellXfs>
  <cellStyles count="1">
    <cellStyle name="Normal" xfId="0" builtinId="0"/>
  </cellStyles>
  <dxfs count="38">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63500</xdr:rowOff>
    </xdr:from>
    <xdr:to>
      <xdr:col>17</xdr:col>
      <xdr:colOff>28575</xdr:colOff>
      <xdr:row>5</xdr:row>
      <xdr:rowOff>0</xdr:rowOff>
    </xdr:to>
    <xdr:pic>
      <xdr:nvPicPr>
        <xdr:cNvPr id="2" name="Imagen 2" descr="nuevo logo banco 6 x 2,5 cm">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06763" y="261938"/>
          <a:ext cx="1825625" cy="706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60</xdr:col>
      <xdr:colOff>123825</xdr:colOff>
      <xdr:row>1</xdr:row>
      <xdr:rowOff>180975</xdr:rowOff>
    </xdr:from>
    <xdr:to>
      <xdr:col>64</xdr:col>
      <xdr:colOff>257175</xdr:colOff>
      <xdr:row>5</xdr:row>
      <xdr:rowOff>117475</xdr:rowOff>
    </xdr:to>
    <xdr:pic>
      <xdr:nvPicPr>
        <xdr:cNvPr id="3" name="Imagen 2" descr="nuevo logo banco 6 x 2,5 cm">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0" y="381000"/>
          <a:ext cx="1847850" cy="708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V70"/>
  <sheetViews>
    <sheetView showGridLines="0" tabSelected="1" view="pageBreakPreview" topLeftCell="A15" zoomScaleNormal="100" zoomScaleSheetLayoutView="100" workbookViewId="0">
      <selection activeCell="F53" sqref="F53"/>
    </sheetView>
  </sheetViews>
  <sheetFormatPr baseColWidth="10" defaultRowHeight="15" x14ac:dyDescent="0.25"/>
  <cols>
    <col min="1" max="1" width="2.7109375" customWidth="1"/>
    <col min="2" max="15" width="1.5703125" customWidth="1"/>
    <col min="16" max="16" width="4.85546875" customWidth="1"/>
    <col min="17" max="26" width="1.5703125" customWidth="1"/>
    <col min="27" max="27" width="2" customWidth="1"/>
    <col min="28" max="33" width="1.5703125" customWidth="1"/>
    <col min="34" max="34" width="2.140625" customWidth="1"/>
    <col min="35" max="40" width="1.5703125" customWidth="1"/>
    <col min="41" max="41" width="2.42578125" customWidth="1"/>
    <col min="42" max="47" width="1.5703125" customWidth="1"/>
    <col min="48" max="48" width="2.42578125" customWidth="1"/>
    <col min="49" max="57" width="1.5703125" customWidth="1"/>
    <col min="58" max="58" width="3.140625" customWidth="1"/>
    <col min="59" max="60" width="2.7109375" customWidth="1"/>
    <col min="61" max="61" width="8.5703125" customWidth="1"/>
    <col min="62" max="62" width="1.7109375" customWidth="1"/>
    <col min="63" max="63" width="12.7109375" customWidth="1"/>
    <col min="64" max="64" width="2.7109375" customWidth="1"/>
    <col min="65" max="66" width="11.7109375" customWidth="1"/>
    <col min="67" max="67" width="2.7109375" customWidth="1"/>
    <col min="68" max="68" width="14.7109375" customWidth="1"/>
    <col min="69" max="69" width="12.7109375" customWidth="1"/>
    <col min="70" max="70" width="2.7109375" customWidth="1"/>
    <col min="71" max="71" width="12.7109375" customWidth="1"/>
    <col min="72" max="72" width="10.7109375" customWidth="1"/>
    <col min="73" max="73" width="20.7109375" customWidth="1"/>
    <col min="74" max="75" width="2.7109375" customWidth="1"/>
    <col min="187" max="200" width="1.5703125" customWidth="1"/>
    <col min="201" max="201" width="4.85546875" customWidth="1"/>
    <col min="202" max="291" width="1.5703125" customWidth="1"/>
    <col min="443" max="456" width="1.5703125" customWidth="1"/>
    <col min="457" max="457" width="4.85546875" customWidth="1"/>
    <col min="458" max="547" width="1.5703125" customWidth="1"/>
    <col min="699" max="712" width="1.5703125" customWidth="1"/>
    <col min="713" max="713" width="4.85546875" customWidth="1"/>
    <col min="714" max="803" width="1.5703125" customWidth="1"/>
    <col min="955" max="968" width="1.5703125" customWidth="1"/>
    <col min="969" max="969" width="4.85546875" customWidth="1"/>
    <col min="970" max="1059" width="1.5703125" customWidth="1"/>
    <col min="1211" max="1224" width="1.5703125" customWidth="1"/>
    <col min="1225" max="1225" width="4.85546875" customWidth="1"/>
    <col min="1226" max="1315" width="1.5703125" customWidth="1"/>
    <col min="1467" max="1480" width="1.5703125" customWidth="1"/>
    <col min="1481" max="1481" width="4.85546875" customWidth="1"/>
    <col min="1482" max="1571" width="1.5703125" customWidth="1"/>
    <col min="1723" max="1736" width="1.5703125" customWidth="1"/>
    <col min="1737" max="1737" width="4.85546875" customWidth="1"/>
    <col min="1738" max="1827" width="1.5703125" customWidth="1"/>
    <col min="1979" max="1992" width="1.5703125" customWidth="1"/>
    <col min="1993" max="1993" width="4.85546875" customWidth="1"/>
    <col min="1994" max="2083" width="1.5703125" customWidth="1"/>
    <col min="2235" max="2248" width="1.5703125" customWidth="1"/>
    <col min="2249" max="2249" width="4.85546875" customWidth="1"/>
    <col min="2250" max="2339" width="1.5703125" customWidth="1"/>
    <col min="2491" max="2504" width="1.5703125" customWidth="1"/>
    <col min="2505" max="2505" width="4.85546875" customWidth="1"/>
    <col min="2506" max="2595" width="1.5703125" customWidth="1"/>
    <col min="2747" max="2760" width="1.5703125" customWidth="1"/>
    <col min="2761" max="2761" width="4.85546875" customWidth="1"/>
    <col min="2762" max="2851" width="1.5703125" customWidth="1"/>
    <col min="3003" max="3016" width="1.5703125" customWidth="1"/>
    <col min="3017" max="3017" width="4.85546875" customWidth="1"/>
    <col min="3018" max="3107" width="1.5703125" customWidth="1"/>
    <col min="3259" max="3272" width="1.5703125" customWidth="1"/>
    <col min="3273" max="3273" width="4.85546875" customWidth="1"/>
    <col min="3274" max="3363" width="1.5703125" customWidth="1"/>
    <col min="3515" max="3528" width="1.5703125" customWidth="1"/>
    <col min="3529" max="3529" width="4.85546875" customWidth="1"/>
    <col min="3530" max="3619" width="1.5703125" customWidth="1"/>
    <col min="3771" max="3784" width="1.5703125" customWidth="1"/>
    <col min="3785" max="3785" width="4.85546875" customWidth="1"/>
    <col min="3786" max="3875" width="1.5703125" customWidth="1"/>
    <col min="4027" max="4040" width="1.5703125" customWidth="1"/>
    <col min="4041" max="4041" width="4.85546875" customWidth="1"/>
    <col min="4042" max="4131" width="1.5703125" customWidth="1"/>
    <col min="4283" max="4296" width="1.5703125" customWidth="1"/>
    <col min="4297" max="4297" width="4.85546875" customWidth="1"/>
    <col min="4298" max="4387" width="1.5703125" customWidth="1"/>
    <col min="4539" max="4552" width="1.5703125" customWidth="1"/>
    <col min="4553" max="4553" width="4.85546875" customWidth="1"/>
    <col min="4554" max="4643" width="1.5703125" customWidth="1"/>
    <col min="4795" max="4808" width="1.5703125" customWidth="1"/>
    <col min="4809" max="4809" width="4.85546875" customWidth="1"/>
    <col min="4810" max="4899" width="1.5703125" customWidth="1"/>
    <col min="5051" max="5064" width="1.5703125" customWidth="1"/>
    <col min="5065" max="5065" width="4.85546875" customWidth="1"/>
    <col min="5066" max="5155" width="1.5703125" customWidth="1"/>
    <col min="5307" max="5320" width="1.5703125" customWidth="1"/>
    <col min="5321" max="5321" width="4.85546875" customWidth="1"/>
    <col min="5322" max="5411" width="1.5703125" customWidth="1"/>
    <col min="5563" max="5576" width="1.5703125" customWidth="1"/>
    <col min="5577" max="5577" width="4.85546875" customWidth="1"/>
    <col min="5578" max="5667" width="1.5703125" customWidth="1"/>
    <col min="5819" max="5832" width="1.5703125" customWidth="1"/>
    <col min="5833" max="5833" width="4.85546875" customWidth="1"/>
    <col min="5834" max="5923" width="1.5703125" customWidth="1"/>
    <col min="6075" max="6088" width="1.5703125" customWidth="1"/>
    <col min="6089" max="6089" width="4.85546875" customWidth="1"/>
    <col min="6090" max="6179" width="1.5703125" customWidth="1"/>
    <col min="6331" max="6344" width="1.5703125" customWidth="1"/>
    <col min="6345" max="6345" width="4.85546875" customWidth="1"/>
    <col min="6346" max="6435" width="1.5703125" customWidth="1"/>
    <col min="6587" max="6600" width="1.5703125" customWidth="1"/>
    <col min="6601" max="6601" width="4.85546875" customWidth="1"/>
    <col min="6602" max="6691" width="1.5703125" customWidth="1"/>
    <col min="6843" max="6856" width="1.5703125" customWidth="1"/>
    <col min="6857" max="6857" width="4.85546875" customWidth="1"/>
    <col min="6858" max="6947" width="1.5703125" customWidth="1"/>
    <col min="7099" max="7112" width="1.5703125" customWidth="1"/>
    <col min="7113" max="7113" width="4.85546875" customWidth="1"/>
    <col min="7114" max="7203" width="1.5703125" customWidth="1"/>
    <col min="7355" max="7368" width="1.5703125" customWidth="1"/>
    <col min="7369" max="7369" width="4.85546875" customWidth="1"/>
    <col min="7370" max="7459" width="1.5703125" customWidth="1"/>
    <col min="7611" max="7624" width="1.5703125" customWidth="1"/>
    <col min="7625" max="7625" width="4.85546875" customWidth="1"/>
    <col min="7626" max="7715" width="1.5703125" customWidth="1"/>
    <col min="7867" max="7880" width="1.5703125" customWidth="1"/>
    <col min="7881" max="7881" width="4.85546875" customWidth="1"/>
    <col min="7882" max="7971" width="1.5703125" customWidth="1"/>
    <col min="8123" max="8136" width="1.5703125" customWidth="1"/>
    <col min="8137" max="8137" width="4.85546875" customWidth="1"/>
    <col min="8138" max="8227" width="1.5703125" customWidth="1"/>
    <col min="8379" max="8392" width="1.5703125" customWidth="1"/>
    <col min="8393" max="8393" width="4.85546875" customWidth="1"/>
    <col min="8394" max="8483" width="1.5703125" customWidth="1"/>
    <col min="8635" max="8648" width="1.5703125" customWidth="1"/>
    <col min="8649" max="8649" width="4.85546875" customWidth="1"/>
    <col min="8650" max="8739" width="1.5703125" customWidth="1"/>
    <col min="8891" max="8904" width="1.5703125" customWidth="1"/>
    <col min="8905" max="8905" width="4.85546875" customWidth="1"/>
    <col min="8906" max="8995" width="1.5703125" customWidth="1"/>
    <col min="9147" max="9160" width="1.5703125" customWidth="1"/>
    <col min="9161" max="9161" width="4.85546875" customWidth="1"/>
    <col min="9162" max="9251" width="1.5703125" customWidth="1"/>
    <col min="9403" max="9416" width="1.5703125" customWidth="1"/>
    <col min="9417" max="9417" width="4.85546875" customWidth="1"/>
    <col min="9418" max="9507" width="1.5703125" customWidth="1"/>
    <col min="9659" max="9672" width="1.5703125" customWidth="1"/>
    <col min="9673" max="9673" width="4.85546875" customWidth="1"/>
    <col min="9674" max="9763" width="1.5703125" customWidth="1"/>
    <col min="9915" max="9928" width="1.5703125" customWidth="1"/>
    <col min="9929" max="9929" width="4.85546875" customWidth="1"/>
    <col min="9930" max="10019" width="1.5703125" customWidth="1"/>
    <col min="10171" max="10184" width="1.5703125" customWidth="1"/>
    <col min="10185" max="10185" width="4.85546875" customWidth="1"/>
    <col min="10186" max="10275" width="1.5703125" customWidth="1"/>
    <col min="10427" max="10440" width="1.5703125" customWidth="1"/>
    <col min="10441" max="10441" width="4.85546875" customWidth="1"/>
    <col min="10442" max="10531" width="1.5703125" customWidth="1"/>
    <col min="10683" max="10696" width="1.5703125" customWidth="1"/>
    <col min="10697" max="10697" width="4.85546875" customWidth="1"/>
    <col min="10698" max="10787" width="1.5703125" customWidth="1"/>
    <col min="10939" max="10952" width="1.5703125" customWidth="1"/>
    <col min="10953" max="10953" width="4.85546875" customWidth="1"/>
    <col min="10954" max="11043" width="1.5703125" customWidth="1"/>
    <col min="11195" max="11208" width="1.5703125" customWidth="1"/>
    <col min="11209" max="11209" width="4.85546875" customWidth="1"/>
    <col min="11210" max="11299" width="1.5703125" customWidth="1"/>
    <col min="11451" max="11464" width="1.5703125" customWidth="1"/>
    <col min="11465" max="11465" width="4.85546875" customWidth="1"/>
    <col min="11466" max="11555" width="1.5703125" customWidth="1"/>
    <col min="11707" max="11720" width="1.5703125" customWidth="1"/>
    <col min="11721" max="11721" width="4.85546875" customWidth="1"/>
    <col min="11722" max="11811" width="1.5703125" customWidth="1"/>
    <col min="11963" max="11976" width="1.5703125" customWidth="1"/>
    <col min="11977" max="11977" width="4.85546875" customWidth="1"/>
    <col min="11978" max="12067" width="1.5703125" customWidth="1"/>
    <col min="12219" max="12232" width="1.5703125" customWidth="1"/>
    <col min="12233" max="12233" width="4.85546875" customWidth="1"/>
    <col min="12234" max="12323" width="1.5703125" customWidth="1"/>
    <col min="12475" max="12488" width="1.5703125" customWidth="1"/>
    <col min="12489" max="12489" width="4.85546875" customWidth="1"/>
    <col min="12490" max="12579" width="1.5703125" customWidth="1"/>
    <col min="12731" max="12744" width="1.5703125" customWidth="1"/>
    <col min="12745" max="12745" width="4.85546875" customWidth="1"/>
    <col min="12746" max="12835" width="1.5703125" customWidth="1"/>
    <col min="12987" max="13000" width="1.5703125" customWidth="1"/>
    <col min="13001" max="13001" width="4.85546875" customWidth="1"/>
    <col min="13002" max="13091" width="1.5703125" customWidth="1"/>
    <col min="13243" max="13256" width="1.5703125" customWidth="1"/>
    <col min="13257" max="13257" width="4.85546875" customWidth="1"/>
    <col min="13258" max="13347" width="1.5703125" customWidth="1"/>
    <col min="13499" max="13512" width="1.5703125" customWidth="1"/>
    <col min="13513" max="13513" width="4.85546875" customWidth="1"/>
    <col min="13514" max="13603" width="1.5703125" customWidth="1"/>
    <col min="13755" max="13768" width="1.5703125" customWidth="1"/>
    <col min="13769" max="13769" width="4.85546875" customWidth="1"/>
    <col min="13770" max="13859" width="1.5703125" customWidth="1"/>
    <col min="14011" max="14024" width="1.5703125" customWidth="1"/>
    <col min="14025" max="14025" width="4.85546875" customWidth="1"/>
    <col min="14026" max="14115" width="1.5703125" customWidth="1"/>
    <col min="14267" max="14280" width="1.5703125" customWidth="1"/>
    <col min="14281" max="14281" width="4.85546875" customWidth="1"/>
    <col min="14282" max="14371" width="1.5703125" customWidth="1"/>
    <col min="14523" max="14536" width="1.5703125" customWidth="1"/>
    <col min="14537" max="14537" width="4.85546875" customWidth="1"/>
    <col min="14538" max="14627" width="1.5703125" customWidth="1"/>
    <col min="14779" max="14792" width="1.5703125" customWidth="1"/>
    <col min="14793" max="14793" width="4.85546875" customWidth="1"/>
    <col min="14794" max="14883" width="1.5703125" customWidth="1"/>
    <col min="15035" max="15048" width="1.5703125" customWidth="1"/>
    <col min="15049" max="15049" width="4.85546875" customWidth="1"/>
    <col min="15050" max="15139" width="1.5703125" customWidth="1"/>
    <col min="15291" max="15304" width="1.5703125" customWidth="1"/>
    <col min="15305" max="15305" width="4.85546875" customWidth="1"/>
    <col min="15306" max="15395" width="1.5703125" customWidth="1"/>
    <col min="15547" max="15560" width="1.5703125" customWidth="1"/>
    <col min="15561" max="15561" width="4.85546875" customWidth="1"/>
    <col min="15562" max="15651" width="1.5703125" customWidth="1"/>
    <col min="15803" max="15816" width="1.5703125" customWidth="1"/>
    <col min="15817" max="15817" width="4.85546875" customWidth="1"/>
    <col min="15818" max="15907" width="1.5703125" customWidth="1"/>
    <col min="16059" max="16072" width="1.5703125" customWidth="1"/>
    <col min="16073" max="16073" width="4.85546875" customWidth="1"/>
    <col min="16074" max="16163" width="1.5703125" customWidth="1"/>
  </cols>
  <sheetData>
    <row r="1" spans="1:74" ht="15.75" thickBot="1"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row>
    <row r="2" spans="1:74" ht="15" customHeight="1" x14ac:dyDescent="0.25">
      <c r="A2" s="5"/>
      <c r="B2" s="1"/>
      <c r="C2" s="2"/>
      <c r="D2" s="2"/>
      <c r="E2" s="2"/>
      <c r="F2" s="2"/>
      <c r="G2" s="2"/>
      <c r="H2" s="2"/>
      <c r="I2" s="2"/>
      <c r="J2" s="2"/>
      <c r="K2" s="2"/>
      <c r="L2" s="2"/>
      <c r="M2" s="2"/>
      <c r="N2" s="2"/>
      <c r="O2" s="2"/>
      <c r="P2" s="2"/>
      <c r="Q2" s="2"/>
      <c r="R2" s="2"/>
      <c r="S2" s="242" t="s">
        <v>0</v>
      </c>
      <c r="T2" s="243"/>
      <c r="U2" s="243"/>
      <c r="V2" s="243"/>
      <c r="W2" s="243"/>
      <c r="X2" s="243"/>
      <c r="Y2" s="243"/>
      <c r="Z2" s="243"/>
      <c r="AA2" s="243"/>
      <c r="AB2" s="243"/>
      <c r="AC2" s="243"/>
      <c r="AD2" s="243"/>
      <c r="AE2" s="243"/>
      <c r="AF2" s="243"/>
      <c r="AG2" s="243"/>
      <c r="AH2" s="243"/>
      <c r="AI2" s="243"/>
      <c r="AJ2" s="243"/>
      <c r="AK2" s="243"/>
      <c r="AL2" s="243"/>
      <c r="AM2" s="243"/>
      <c r="AN2" s="243"/>
      <c r="AO2" s="243"/>
      <c r="AP2" s="243"/>
      <c r="AQ2" s="243"/>
      <c r="AR2" s="243"/>
      <c r="AS2" s="243"/>
      <c r="AT2" s="243"/>
      <c r="AU2" s="243"/>
      <c r="AV2" s="243"/>
      <c r="AW2" s="243"/>
      <c r="AX2" s="243"/>
      <c r="AY2" s="243"/>
      <c r="AZ2" s="243"/>
      <c r="BA2" s="243"/>
      <c r="BB2" s="243"/>
      <c r="BC2" s="243"/>
      <c r="BD2" s="243"/>
      <c r="BE2" s="243"/>
      <c r="BF2" s="244"/>
      <c r="BG2" s="5"/>
      <c r="BH2" s="5"/>
      <c r="BI2" s="5"/>
      <c r="BJ2" s="5"/>
      <c r="BK2" s="5"/>
      <c r="BL2" s="5"/>
      <c r="BM2" s="310" t="s">
        <v>62</v>
      </c>
      <c r="BN2" s="310"/>
      <c r="BO2" s="310"/>
      <c r="BP2" s="310"/>
      <c r="BQ2" s="310"/>
      <c r="BR2" s="5"/>
      <c r="BS2" s="59" t="s">
        <v>78</v>
      </c>
      <c r="BT2" s="67" t="s">
        <v>47</v>
      </c>
      <c r="BU2" s="68"/>
      <c r="BV2" s="5"/>
    </row>
    <row r="3" spans="1:74" ht="15" customHeight="1" x14ac:dyDescent="0.25">
      <c r="A3" s="5"/>
      <c r="B3" s="3"/>
      <c r="C3" s="4"/>
      <c r="D3" s="4"/>
      <c r="E3" s="4"/>
      <c r="F3" s="4"/>
      <c r="G3" s="4"/>
      <c r="H3" s="4"/>
      <c r="I3" s="4"/>
      <c r="J3" s="4"/>
      <c r="K3" s="4"/>
      <c r="L3" s="4"/>
      <c r="M3" s="4"/>
      <c r="N3" s="4"/>
      <c r="O3" s="4"/>
      <c r="P3" s="4"/>
      <c r="Q3" s="4"/>
      <c r="R3" s="4"/>
      <c r="S3" s="245"/>
      <c r="T3" s="246"/>
      <c r="U3" s="246"/>
      <c r="V3" s="246"/>
      <c r="W3" s="246"/>
      <c r="X3" s="246"/>
      <c r="Y3" s="246"/>
      <c r="Z3" s="246"/>
      <c r="AA3" s="246"/>
      <c r="AB3" s="246"/>
      <c r="AC3" s="246"/>
      <c r="AD3" s="246"/>
      <c r="AE3" s="246"/>
      <c r="AF3" s="246"/>
      <c r="AG3" s="246"/>
      <c r="AH3" s="246"/>
      <c r="AI3" s="246"/>
      <c r="AJ3" s="246"/>
      <c r="AK3" s="246"/>
      <c r="AL3" s="246"/>
      <c r="AM3" s="246"/>
      <c r="AN3" s="246"/>
      <c r="AO3" s="246"/>
      <c r="AP3" s="246"/>
      <c r="AQ3" s="246"/>
      <c r="AR3" s="246"/>
      <c r="AS3" s="246"/>
      <c r="AT3" s="246"/>
      <c r="AU3" s="246"/>
      <c r="AV3" s="246"/>
      <c r="AW3" s="246"/>
      <c r="AX3" s="246"/>
      <c r="AY3" s="246"/>
      <c r="AZ3" s="246"/>
      <c r="BA3" s="246"/>
      <c r="BB3" s="246"/>
      <c r="BC3" s="246"/>
      <c r="BD3" s="246"/>
      <c r="BE3" s="246"/>
      <c r="BF3" s="247"/>
      <c r="BG3" s="5"/>
      <c r="BH3" s="5"/>
      <c r="BI3" s="5"/>
      <c r="BJ3" s="5"/>
      <c r="BK3" s="5"/>
      <c r="BL3" s="5"/>
      <c r="BM3" s="310"/>
      <c r="BN3" s="310"/>
      <c r="BO3" s="310"/>
      <c r="BP3" s="310"/>
      <c r="BQ3" s="310"/>
      <c r="BR3" s="5"/>
      <c r="BS3" s="64">
        <f>+AR7</f>
        <v>7122</v>
      </c>
      <c r="BT3" s="69"/>
      <c r="BU3" s="70"/>
      <c r="BV3" s="5"/>
    </row>
    <row r="4" spans="1:74" ht="15" customHeight="1" x14ac:dyDescent="0.25">
      <c r="A4" s="5"/>
      <c r="B4" s="3"/>
      <c r="C4" s="4"/>
      <c r="D4" s="4"/>
      <c r="E4" s="4"/>
      <c r="F4" s="4"/>
      <c r="G4" s="4"/>
      <c r="H4" s="4"/>
      <c r="I4" s="4"/>
      <c r="J4" s="4"/>
      <c r="K4" s="4"/>
      <c r="L4" s="4"/>
      <c r="M4" s="4"/>
      <c r="N4" s="4"/>
      <c r="O4" s="4"/>
      <c r="P4" s="4"/>
      <c r="Q4" s="4"/>
      <c r="R4" s="4"/>
      <c r="S4" s="245"/>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7"/>
      <c r="BG4" s="5"/>
      <c r="BH4" s="5"/>
      <c r="BI4" s="5"/>
      <c r="BJ4" s="5"/>
      <c r="BK4" s="5"/>
      <c r="BL4" s="5"/>
      <c r="BM4" s="310"/>
      <c r="BN4" s="310"/>
      <c r="BO4" s="310"/>
      <c r="BP4" s="310"/>
      <c r="BQ4" s="310"/>
      <c r="BR4" s="5"/>
      <c r="BS4" s="64"/>
      <c r="BT4" s="38">
        <v>1</v>
      </c>
      <c r="BU4" s="62">
        <v>1000</v>
      </c>
      <c r="BV4" s="5"/>
    </row>
    <row r="5" spans="1:74" ht="15.75" customHeight="1" thickBot="1" x14ac:dyDescent="0.3">
      <c r="A5" s="5"/>
      <c r="B5" s="3"/>
      <c r="C5" s="4"/>
      <c r="D5" s="4"/>
      <c r="E5" s="4"/>
      <c r="F5" s="4"/>
      <c r="G5" s="4"/>
      <c r="H5" s="4"/>
      <c r="I5" s="4"/>
      <c r="J5" s="4"/>
      <c r="K5" s="4"/>
      <c r="L5" s="4"/>
      <c r="M5" s="4"/>
      <c r="N5" s="4"/>
      <c r="O5" s="4"/>
      <c r="P5" s="4"/>
      <c r="Q5" s="4"/>
      <c r="R5" s="4"/>
      <c r="S5" s="248"/>
      <c r="T5" s="249"/>
      <c r="U5" s="249"/>
      <c r="V5" s="249"/>
      <c r="W5" s="249"/>
      <c r="X5" s="249"/>
      <c r="Y5" s="249"/>
      <c r="Z5" s="249"/>
      <c r="AA5" s="249"/>
      <c r="AB5" s="249"/>
      <c r="AC5" s="249"/>
      <c r="AD5" s="249"/>
      <c r="AE5" s="249"/>
      <c r="AF5" s="249"/>
      <c r="AG5" s="249"/>
      <c r="AH5" s="249"/>
      <c r="AI5" s="249"/>
      <c r="AJ5" s="249"/>
      <c r="AK5" s="249"/>
      <c r="AL5" s="249"/>
      <c r="AM5" s="249"/>
      <c r="AN5" s="249"/>
      <c r="AO5" s="249"/>
      <c r="AP5" s="249"/>
      <c r="AQ5" s="249"/>
      <c r="AR5" s="249"/>
      <c r="AS5" s="249"/>
      <c r="AT5" s="249"/>
      <c r="AU5" s="249"/>
      <c r="AV5" s="249"/>
      <c r="AW5" s="249"/>
      <c r="AX5" s="249"/>
      <c r="AY5" s="249"/>
      <c r="AZ5" s="249"/>
      <c r="BA5" s="249"/>
      <c r="BB5" s="249"/>
      <c r="BC5" s="249"/>
      <c r="BD5" s="249"/>
      <c r="BE5" s="249"/>
      <c r="BF5" s="250"/>
      <c r="BG5" s="5"/>
      <c r="BH5" s="5"/>
      <c r="BI5" s="5"/>
      <c r="BJ5" s="5"/>
      <c r="BK5" s="5"/>
      <c r="BL5" s="5"/>
      <c r="BM5" s="310"/>
      <c r="BN5" s="310"/>
      <c r="BO5" s="310"/>
      <c r="BP5" s="310"/>
      <c r="BQ5" s="310"/>
      <c r="BR5" s="5"/>
      <c r="BS5" s="60" t="s">
        <v>4</v>
      </c>
      <c r="BT5" s="38">
        <v>2</v>
      </c>
      <c r="BU5" s="62">
        <v>2000</v>
      </c>
      <c r="BV5" s="5"/>
    </row>
    <row r="6" spans="1:74" ht="15.75" customHeight="1" thickBot="1" x14ac:dyDescent="0.3">
      <c r="A6" s="5"/>
      <c r="B6" s="129" t="s">
        <v>1</v>
      </c>
      <c r="C6" s="128"/>
      <c r="D6" s="128"/>
      <c r="E6" s="128"/>
      <c r="F6" s="128"/>
      <c r="G6" s="130"/>
      <c r="H6" s="129" t="s">
        <v>2</v>
      </c>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30"/>
      <c r="AR6" s="129" t="s">
        <v>3</v>
      </c>
      <c r="AS6" s="128"/>
      <c r="AT6" s="128"/>
      <c r="AU6" s="128"/>
      <c r="AV6" s="128"/>
      <c r="AW6" s="128"/>
      <c r="AX6" s="128"/>
      <c r="AY6" s="128"/>
      <c r="AZ6" s="130"/>
      <c r="BA6" s="129" t="s">
        <v>4</v>
      </c>
      <c r="BB6" s="128"/>
      <c r="BC6" s="128"/>
      <c r="BD6" s="128"/>
      <c r="BE6" s="128"/>
      <c r="BF6" s="130"/>
      <c r="BG6" s="5"/>
      <c r="BH6" s="5"/>
      <c r="BI6" s="5"/>
      <c r="BJ6" s="5"/>
      <c r="BK6" s="5"/>
      <c r="BL6" s="5"/>
      <c r="BM6" s="310"/>
      <c r="BN6" s="310"/>
      <c r="BO6" s="310"/>
      <c r="BP6" s="310"/>
      <c r="BQ6" s="310"/>
      <c r="BR6" s="5"/>
      <c r="BS6" s="65">
        <f ca="1">+BA7</f>
        <v>45943</v>
      </c>
      <c r="BT6" s="38">
        <v>3</v>
      </c>
      <c r="BU6" s="62">
        <v>10000</v>
      </c>
      <c r="BV6" s="5"/>
    </row>
    <row r="7" spans="1:74" ht="15.75" thickBot="1" x14ac:dyDescent="0.3">
      <c r="A7" s="5"/>
      <c r="B7" s="251">
        <v>2495</v>
      </c>
      <c r="C7" s="252"/>
      <c r="D7" s="252"/>
      <c r="E7" s="252"/>
      <c r="F7" s="252"/>
      <c r="G7" s="253"/>
      <c r="H7" s="251" t="s">
        <v>84</v>
      </c>
      <c r="I7" s="252"/>
      <c r="J7" s="252"/>
      <c r="K7" s="252"/>
      <c r="L7" s="252"/>
      <c r="M7" s="252"/>
      <c r="N7" s="252"/>
      <c r="O7" s="252"/>
      <c r="P7" s="252"/>
      <c r="Q7" s="252"/>
      <c r="R7" s="252"/>
      <c r="S7" s="252"/>
      <c r="T7" s="252"/>
      <c r="U7" s="252"/>
      <c r="V7" s="252"/>
      <c r="W7" s="252"/>
      <c r="X7" s="252"/>
      <c r="Y7" s="252"/>
      <c r="Z7" s="252"/>
      <c r="AA7" s="252"/>
      <c r="AB7" s="252"/>
      <c r="AC7" s="252"/>
      <c r="AD7" s="252"/>
      <c r="AE7" s="252"/>
      <c r="AF7" s="252"/>
      <c r="AG7" s="252"/>
      <c r="AH7" s="252"/>
      <c r="AI7" s="252"/>
      <c r="AJ7" s="252"/>
      <c r="AK7" s="252"/>
      <c r="AL7" s="252"/>
      <c r="AM7" s="252"/>
      <c r="AN7" s="252"/>
      <c r="AO7" s="252"/>
      <c r="AP7" s="252"/>
      <c r="AQ7" s="253"/>
      <c r="AR7" s="251">
        <v>7122</v>
      </c>
      <c r="AS7" s="252"/>
      <c r="AT7" s="252"/>
      <c r="AU7" s="252"/>
      <c r="AV7" s="252"/>
      <c r="AW7" s="252"/>
      <c r="AX7" s="252"/>
      <c r="AY7" s="252"/>
      <c r="AZ7" s="253"/>
      <c r="BA7" s="282">
        <f ca="1">TODAY()</f>
        <v>45943</v>
      </c>
      <c r="BB7" s="283"/>
      <c r="BC7" s="283"/>
      <c r="BD7" s="283"/>
      <c r="BE7" s="283"/>
      <c r="BF7" s="284"/>
      <c r="BG7" s="5"/>
      <c r="BH7" s="5"/>
      <c r="BI7" s="72"/>
      <c r="BJ7" s="72"/>
      <c r="BK7" s="5"/>
      <c r="BL7" s="5"/>
      <c r="BM7" s="5"/>
      <c r="BN7" s="5"/>
      <c r="BO7" s="5"/>
      <c r="BP7" s="5"/>
      <c r="BQ7" s="5"/>
      <c r="BR7" s="5"/>
      <c r="BS7" s="66"/>
      <c r="BT7" s="39">
        <v>4</v>
      </c>
      <c r="BU7" s="63">
        <v>20000</v>
      </c>
      <c r="BV7" s="5"/>
    </row>
    <row r="8" spans="1:74" ht="6" customHeight="1" thickBot="1" x14ac:dyDescent="0.3">
      <c r="A8" s="5"/>
      <c r="B8" s="254"/>
      <c r="C8" s="255"/>
      <c r="D8" s="255"/>
      <c r="E8" s="255"/>
      <c r="F8" s="255"/>
      <c r="G8" s="256"/>
      <c r="H8" s="254"/>
      <c r="I8" s="255"/>
      <c r="J8" s="255"/>
      <c r="K8" s="255"/>
      <c r="L8" s="255"/>
      <c r="M8" s="255"/>
      <c r="N8" s="255"/>
      <c r="O8" s="255"/>
      <c r="P8" s="255"/>
      <c r="Q8" s="255"/>
      <c r="R8" s="255"/>
      <c r="S8" s="255"/>
      <c r="T8" s="255"/>
      <c r="U8" s="255"/>
      <c r="V8" s="255"/>
      <c r="W8" s="255"/>
      <c r="X8" s="255"/>
      <c r="Y8" s="255"/>
      <c r="Z8" s="255"/>
      <c r="AA8" s="255"/>
      <c r="AB8" s="255"/>
      <c r="AC8" s="255"/>
      <c r="AD8" s="255"/>
      <c r="AE8" s="255"/>
      <c r="AF8" s="255"/>
      <c r="AG8" s="255"/>
      <c r="AH8" s="255"/>
      <c r="AI8" s="255"/>
      <c r="AJ8" s="255"/>
      <c r="AK8" s="255"/>
      <c r="AL8" s="255"/>
      <c r="AM8" s="255"/>
      <c r="AN8" s="255"/>
      <c r="AO8" s="255"/>
      <c r="AP8" s="255"/>
      <c r="AQ8" s="256"/>
      <c r="AR8" s="254"/>
      <c r="AS8" s="255"/>
      <c r="AT8" s="255"/>
      <c r="AU8" s="255"/>
      <c r="AV8" s="255"/>
      <c r="AW8" s="255"/>
      <c r="AX8" s="255"/>
      <c r="AY8" s="255"/>
      <c r="AZ8" s="256"/>
      <c r="BA8" s="285"/>
      <c r="BB8" s="286"/>
      <c r="BC8" s="286"/>
      <c r="BD8" s="286"/>
      <c r="BE8" s="286"/>
      <c r="BF8" s="287"/>
      <c r="BG8" s="5"/>
      <c r="BH8" s="5"/>
      <c r="BI8" s="5"/>
      <c r="BJ8" s="5"/>
      <c r="BK8" s="5"/>
      <c r="BL8" s="5"/>
      <c r="BM8" s="5"/>
      <c r="BN8" s="5"/>
      <c r="BO8" s="5"/>
      <c r="BP8" s="5"/>
      <c r="BQ8" s="5"/>
      <c r="BR8" s="5"/>
      <c r="BS8" s="5"/>
      <c r="BT8" s="5"/>
      <c r="BU8" s="5"/>
      <c r="BV8" s="5"/>
    </row>
    <row r="9" spans="1:74" ht="15.75" customHeight="1" thickBot="1" x14ac:dyDescent="0.3">
      <c r="A9" s="5"/>
      <c r="B9" s="197" t="s">
        <v>5</v>
      </c>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9"/>
      <c r="BG9" s="5"/>
      <c r="BH9" s="5"/>
      <c r="BI9" s="324" t="s">
        <v>53</v>
      </c>
      <c r="BJ9" s="325"/>
      <c r="BK9" s="325"/>
      <c r="BL9" s="325"/>
      <c r="BM9" s="325"/>
      <c r="BN9" s="325"/>
      <c r="BO9" s="325"/>
      <c r="BP9" s="325"/>
      <c r="BQ9" s="325"/>
      <c r="BR9" s="325"/>
      <c r="BS9" s="325"/>
      <c r="BT9" s="325"/>
      <c r="BU9" s="326"/>
      <c r="BV9" s="5"/>
    </row>
    <row r="10" spans="1:74" ht="15" customHeight="1" thickBot="1" x14ac:dyDescent="0.3">
      <c r="A10" s="5"/>
      <c r="B10" s="133" t="s">
        <v>6</v>
      </c>
      <c r="C10" s="131"/>
      <c r="D10" s="131"/>
      <c r="E10" s="131"/>
      <c r="F10" s="131"/>
      <c r="G10" s="131"/>
      <c r="H10" s="131"/>
      <c r="I10" s="131"/>
      <c r="J10" s="131"/>
      <c r="K10" s="131"/>
      <c r="L10" s="131"/>
      <c r="M10" s="131"/>
      <c r="N10" s="131"/>
      <c r="O10" s="131"/>
      <c r="P10" s="131"/>
      <c r="Q10" s="131"/>
      <c r="R10" s="131"/>
      <c r="S10" s="131"/>
      <c r="T10" s="132"/>
      <c r="U10" s="133" t="s">
        <v>58</v>
      </c>
      <c r="V10" s="131"/>
      <c r="W10" s="131"/>
      <c r="X10" s="131"/>
      <c r="Y10" s="131"/>
      <c r="Z10" s="131"/>
      <c r="AA10" s="132"/>
      <c r="AB10" s="133" t="s">
        <v>59</v>
      </c>
      <c r="AC10" s="131"/>
      <c r="AD10" s="131"/>
      <c r="AE10" s="131"/>
      <c r="AF10" s="131"/>
      <c r="AG10" s="131"/>
      <c r="AH10" s="132"/>
      <c r="AI10" s="133" t="s">
        <v>60</v>
      </c>
      <c r="AJ10" s="131"/>
      <c r="AK10" s="131"/>
      <c r="AL10" s="131"/>
      <c r="AM10" s="131"/>
      <c r="AN10" s="131"/>
      <c r="AO10" s="132"/>
      <c r="AP10" s="133" t="s">
        <v>61</v>
      </c>
      <c r="AQ10" s="131"/>
      <c r="AR10" s="131"/>
      <c r="AS10" s="131"/>
      <c r="AT10" s="131"/>
      <c r="AU10" s="131"/>
      <c r="AV10" s="131"/>
      <c r="AW10" s="209" t="s">
        <v>7</v>
      </c>
      <c r="AX10" s="210"/>
      <c r="AY10" s="210"/>
      <c r="AZ10" s="210"/>
      <c r="BA10" s="210"/>
      <c r="BB10" s="210"/>
      <c r="BC10" s="210"/>
      <c r="BD10" s="210"/>
      <c r="BE10" s="210"/>
      <c r="BF10" s="213"/>
      <c r="BG10" s="5"/>
      <c r="BH10" s="5"/>
      <c r="BI10" s="327"/>
      <c r="BJ10" s="328"/>
      <c r="BK10" s="328"/>
      <c r="BL10" s="328"/>
      <c r="BM10" s="328"/>
      <c r="BN10" s="328"/>
      <c r="BO10" s="328"/>
      <c r="BP10" s="328"/>
      <c r="BQ10" s="328"/>
      <c r="BR10" s="328"/>
      <c r="BS10" s="328"/>
      <c r="BT10" s="328"/>
      <c r="BU10" s="329"/>
      <c r="BV10" s="5"/>
    </row>
    <row r="11" spans="1:74" ht="7.35" customHeight="1" thickBot="1" x14ac:dyDescent="0.3">
      <c r="A11" s="5"/>
      <c r="B11" s="260"/>
      <c r="C11" s="261"/>
      <c r="D11" s="261"/>
      <c r="E11" s="261"/>
      <c r="F11" s="261"/>
      <c r="G11" s="261"/>
      <c r="H11" s="261"/>
      <c r="I11" s="261"/>
      <c r="J11" s="261"/>
      <c r="K11" s="261"/>
      <c r="L11" s="261"/>
      <c r="M11" s="261"/>
      <c r="N11" s="261"/>
      <c r="O11" s="261"/>
      <c r="P11" s="261"/>
      <c r="Q11" s="261"/>
      <c r="R11" s="261"/>
      <c r="S11" s="261"/>
      <c r="T11" s="262"/>
      <c r="U11" s="260"/>
      <c r="V11" s="261"/>
      <c r="W11" s="261"/>
      <c r="X11" s="261"/>
      <c r="Y11" s="261"/>
      <c r="Z11" s="261"/>
      <c r="AA11" s="262"/>
      <c r="AB11" s="260"/>
      <c r="AC11" s="261"/>
      <c r="AD11" s="261"/>
      <c r="AE11" s="261"/>
      <c r="AF11" s="261"/>
      <c r="AG11" s="261"/>
      <c r="AH11" s="262"/>
      <c r="AI11" s="260"/>
      <c r="AJ11" s="261"/>
      <c r="AK11" s="261"/>
      <c r="AL11" s="261"/>
      <c r="AM11" s="261"/>
      <c r="AN11" s="261"/>
      <c r="AO11" s="262"/>
      <c r="AP11" s="260"/>
      <c r="AQ11" s="261"/>
      <c r="AR11" s="261"/>
      <c r="AS11" s="261"/>
      <c r="AT11" s="261"/>
      <c r="AU11" s="261"/>
      <c r="AV11" s="261"/>
      <c r="AW11" s="211"/>
      <c r="AX11" s="212"/>
      <c r="AY11" s="212"/>
      <c r="AZ11" s="212"/>
      <c r="BA11" s="212"/>
      <c r="BB11" s="212"/>
      <c r="BC11" s="212"/>
      <c r="BD11" s="212"/>
      <c r="BE11" s="212"/>
      <c r="BF11" s="214"/>
      <c r="BG11" s="5"/>
      <c r="BH11" s="5"/>
      <c r="BI11" s="43"/>
      <c r="BJ11" s="43"/>
      <c r="BK11" s="43"/>
      <c r="BL11" s="43"/>
      <c r="BM11" s="43"/>
      <c r="BN11" s="43"/>
      <c r="BO11" s="43"/>
      <c r="BP11" s="43"/>
      <c r="BQ11" s="43"/>
      <c r="BR11" s="43"/>
      <c r="BS11" s="43"/>
      <c r="BT11" s="43"/>
      <c r="BU11" s="43"/>
      <c r="BV11" s="5"/>
    </row>
    <row r="12" spans="1:74" ht="15" customHeight="1" thickBot="1" x14ac:dyDescent="0.3">
      <c r="A12" s="5"/>
      <c r="B12" s="221" t="s">
        <v>8</v>
      </c>
      <c r="C12" s="222"/>
      <c r="D12" s="222"/>
      <c r="E12" s="222"/>
      <c r="F12" s="222"/>
      <c r="G12" s="222"/>
      <c r="H12" s="222"/>
      <c r="I12" s="222"/>
      <c r="J12" s="222"/>
      <c r="K12" s="222"/>
      <c r="L12" s="222"/>
      <c r="M12" s="222"/>
      <c r="N12" s="222"/>
      <c r="O12" s="222"/>
      <c r="P12" s="222"/>
      <c r="Q12" s="222"/>
      <c r="R12" s="222"/>
      <c r="S12" s="222"/>
      <c r="T12" s="223"/>
      <c r="U12" s="219"/>
      <c r="V12" s="219"/>
      <c r="W12" s="219"/>
      <c r="X12" s="219"/>
      <c r="Y12" s="219"/>
      <c r="Z12" s="219"/>
      <c r="AA12" s="220"/>
      <c r="AB12" s="218"/>
      <c r="AC12" s="219"/>
      <c r="AD12" s="219"/>
      <c r="AE12" s="219"/>
      <c r="AF12" s="219"/>
      <c r="AG12" s="219"/>
      <c r="AH12" s="220"/>
      <c r="AI12" s="218"/>
      <c r="AJ12" s="219"/>
      <c r="AK12" s="219"/>
      <c r="AL12" s="219"/>
      <c r="AM12" s="219"/>
      <c r="AN12" s="219"/>
      <c r="AO12" s="220"/>
      <c r="AP12" s="218"/>
      <c r="AQ12" s="219"/>
      <c r="AR12" s="219"/>
      <c r="AS12" s="219"/>
      <c r="AT12" s="219"/>
      <c r="AU12" s="219"/>
      <c r="AV12" s="220"/>
      <c r="AW12" s="257">
        <f t="shared" ref="AW12:AW17" si="0">U12+AB12+AI12+AP12</f>
        <v>0</v>
      </c>
      <c r="AX12" s="258"/>
      <c r="AY12" s="258"/>
      <c r="AZ12" s="258"/>
      <c r="BA12" s="258"/>
      <c r="BB12" s="258"/>
      <c r="BC12" s="258"/>
      <c r="BD12" s="258"/>
      <c r="BE12" s="258"/>
      <c r="BF12" s="259"/>
      <c r="BG12" s="5"/>
      <c r="BH12" s="5"/>
      <c r="BI12" s="330" t="s">
        <v>54</v>
      </c>
      <c r="BJ12" s="331"/>
      <c r="BK12" s="332"/>
      <c r="BL12" s="44"/>
      <c r="BM12" s="265" t="s">
        <v>55</v>
      </c>
      <c r="BN12" s="266"/>
      <c r="BO12" s="42"/>
      <c r="BP12" s="277" t="s">
        <v>56</v>
      </c>
      <c r="BQ12" s="279"/>
      <c r="BR12" s="42"/>
      <c r="BS12" s="277" t="s">
        <v>48</v>
      </c>
      <c r="BT12" s="278"/>
      <c r="BU12" s="279"/>
      <c r="BV12" s="5"/>
    </row>
    <row r="13" spans="1:74" ht="15" customHeight="1" x14ac:dyDescent="0.25">
      <c r="A13" s="5"/>
      <c r="B13" s="185" t="s">
        <v>9</v>
      </c>
      <c r="C13" s="186"/>
      <c r="D13" s="186"/>
      <c r="E13" s="186"/>
      <c r="F13" s="186"/>
      <c r="G13" s="186"/>
      <c r="H13" s="186"/>
      <c r="I13" s="186"/>
      <c r="J13" s="186"/>
      <c r="K13" s="186"/>
      <c r="L13" s="186"/>
      <c r="M13" s="186"/>
      <c r="N13" s="186"/>
      <c r="O13" s="186"/>
      <c r="P13" s="186"/>
      <c r="Q13" s="186"/>
      <c r="R13" s="186"/>
      <c r="S13" s="186"/>
      <c r="T13" s="187"/>
      <c r="U13" s="151"/>
      <c r="V13" s="151"/>
      <c r="W13" s="151"/>
      <c r="X13" s="151"/>
      <c r="Y13" s="151"/>
      <c r="Z13" s="151"/>
      <c r="AA13" s="152"/>
      <c r="AB13" s="150"/>
      <c r="AC13" s="151"/>
      <c r="AD13" s="151"/>
      <c r="AE13" s="151"/>
      <c r="AF13" s="151"/>
      <c r="AG13" s="151"/>
      <c r="AH13" s="152"/>
      <c r="AI13" s="150"/>
      <c r="AJ13" s="151"/>
      <c r="AK13" s="151"/>
      <c r="AL13" s="151"/>
      <c r="AM13" s="151"/>
      <c r="AN13" s="151"/>
      <c r="AO13" s="152"/>
      <c r="AP13" s="150"/>
      <c r="AQ13" s="151"/>
      <c r="AR13" s="151"/>
      <c r="AS13" s="151"/>
      <c r="AT13" s="151"/>
      <c r="AU13" s="151"/>
      <c r="AV13" s="151"/>
      <c r="AW13" s="159">
        <f t="shared" si="0"/>
        <v>0</v>
      </c>
      <c r="AX13" s="160"/>
      <c r="AY13" s="160"/>
      <c r="AZ13" s="160"/>
      <c r="BA13" s="160"/>
      <c r="BB13" s="160"/>
      <c r="BC13" s="160"/>
      <c r="BD13" s="160"/>
      <c r="BE13" s="160"/>
      <c r="BF13" s="161"/>
      <c r="BG13" s="5"/>
      <c r="BH13" s="5"/>
      <c r="BI13" s="333">
        <f>+U12+AB12+AI12+AP12</f>
        <v>0</v>
      </c>
      <c r="BJ13" s="334"/>
      <c r="BK13" s="335"/>
      <c r="BL13" s="263" t="s">
        <v>51</v>
      </c>
      <c r="BM13" s="267">
        <f>+U16+AB16+AI16+AP16</f>
        <v>0</v>
      </c>
      <c r="BN13" s="268"/>
      <c r="BO13" s="263" t="s">
        <v>52</v>
      </c>
      <c r="BP13" s="271">
        <f>+U38+AB38+AI38+AP38</f>
        <v>0</v>
      </c>
      <c r="BQ13" s="272"/>
      <c r="BR13" s="43"/>
      <c r="BS13" s="271">
        <f>(BM13+BP13)-BI13</f>
        <v>0</v>
      </c>
      <c r="BT13" s="275"/>
      <c r="BU13" s="280" t="str">
        <f>IF(BS13&gt;0,"SOBRANTE",IF(BS13=0,"SIN DIFERENCIA","FALTANTE"))</f>
        <v>SIN DIFERENCIA</v>
      </c>
      <c r="BV13" s="5"/>
    </row>
    <row r="14" spans="1:74" ht="15" customHeight="1" thickBot="1" x14ac:dyDescent="0.3">
      <c r="A14" s="5"/>
      <c r="B14" s="185" t="s">
        <v>10</v>
      </c>
      <c r="C14" s="186"/>
      <c r="D14" s="186"/>
      <c r="E14" s="186"/>
      <c r="F14" s="186"/>
      <c r="G14" s="186"/>
      <c r="H14" s="186"/>
      <c r="I14" s="186"/>
      <c r="J14" s="186"/>
      <c r="K14" s="186"/>
      <c r="L14" s="186"/>
      <c r="M14" s="186"/>
      <c r="N14" s="186"/>
      <c r="O14" s="186"/>
      <c r="P14" s="186"/>
      <c r="Q14" s="186"/>
      <c r="R14" s="186"/>
      <c r="S14" s="186"/>
      <c r="T14" s="187"/>
      <c r="U14" s="151"/>
      <c r="V14" s="151"/>
      <c r="W14" s="151"/>
      <c r="X14" s="151"/>
      <c r="Y14" s="151"/>
      <c r="Z14" s="151"/>
      <c r="AA14" s="152"/>
      <c r="AB14" s="150"/>
      <c r="AC14" s="151"/>
      <c r="AD14" s="151"/>
      <c r="AE14" s="151"/>
      <c r="AF14" s="151"/>
      <c r="AG14" s="151"/>
      <c r="AH14" s="152"/>
      <c r="AI14" s="150"/>
      <c r="AJ14" s="151"/>
      <c r="AK14" s="151"/>
      <c r="AL14" s="151"/>
      <c r="AM14" s="151"/>
      <c r="AN14" s="151"/>
      <c r="AO14" s="152"/>
      <c r="AP14" s="150"/>
      <c r="AQ14" s="151"/>
      <c r="AR14" s="151"/>
      <c r="AS14" s="151"/>
      <c r="AT14" s="151"/>
      <c r="AU14" s="151"/>
      <c r="AV14" s="151"/>
      <c r="AW14" s="159">
        <f t="shared" si="0"/>
        <v>0</v>
      </c>
      <c r="AX14" s="160"/>
      <c r="AY14" s="160"/>
      <c r="AZ14" s="160"/>
      <c r="BA14" s="160"/>
      <c r="BB14" s="160"/>
      <c r="BC14" s="160"/>
      <c r="BD14" s="160"/>
      <c r="BE14" s="160"/>
      <c r="BF14" s="161"/>
      <c r="BG14" s="5"/>
      <c r="BH14" s="5"/>
      <c r="BI14" s="336"/>
      <c r="BJ14" s="337"/>
      <c r="BK14" s="338"/>
      <c r="BL14" s="264"/>
      <c r="BM14" s="269"/>
      <c r="BN14" s="270"/>
      <c r="BO14" s="264"/>
      <c r="BP14" s="273"/>
      <c r="BQ14" s="274"/>
      <c r="BR14" s="43"/>
      <c r="BS14" s="273"/>
      <c r="BT14" s="276"/>
      <c r="BU14" s="281"/>
      <c r="BV14" s="5"/>
    </row>
    <row r="15" spans="1:74" ht="15.75" thickBot="1" x14ac:dyDescent="0.3">
      <c r="A15" s="5"/>
      <c r="B15" s="236" t="s">
        <v>11</v>
      </c>
      <c r="C15" s="237"/>
      <c r="D15" s="237"/>
      <c r="E15" s="237"/>
      <c r="F15" s="237"/>
      <c r="G15" s="237"/>
      <c r="H15" s="237"/>
      <c r="I15" s="237"/>
      <c r="J15" s="237"/>
      <c r="K15" s="237"/>
      <c r="L15" s="237"/>
      <c r="M15" s="237"/>
      <c r="N15" s="237"/>
      <c r="O15" s="237"/>
      <c r="P15" s="237"/>
      <c r="Q15" s="237"/>
      <c r="R15" s="237"/>
      <c r="S15" s="237"/>
      <c r="T15" s="238"/>
      <c r="U15" s="184">
        <f>U12+U13-U14</f>
        <v>0</v>
      </c>
      <c r="V15" s="182"/>
      <c r="W15" s="182"/>
      <c r="X15" s="182"/>
      <c r="Y15" s="182"/>
      <c r="Z15" s="182"/>
      <c r="AA15" s="183"/>
      <c r="AB15" s="184">
        <f>AB12+AB13-AB14</f>
        <v>0</v>
      </c>
      <c r="AC15" s="182"/>
      <c r="AD15" s="182"/>
      <c r="AE15" s="182"/>
      <c r="AF15" s="182"/>
      <c r="AG15" s="182"/>
      <c r="AH15" s="183"/>
      <c r="AI15" s="184">
        <f>AI12+AI13-AI14</f>
        <v>0</v>
      </c>
      <c r="AJ15" s="182"/>
      <c r="AK15" s="182"/>
      <c r="AL15" s="182"/>
      <c r="AM15" s="182"/>
      <c r="AN15" s="182"/>
      <c r="AO15" s="183"/>
      <c r="AP15" s="184">
        <f>AP12+AP13-AP14</f>
        <v>0</v>
      </c>
      <c r="AQ15" s="182"/>
      <c r="AR15" s="182"/>
      <c r="AS15" s="182"/>
      <c r="AT15" s="182"/>
      <c r="AU15" s="182"/>
      <c r="AV15" s="183"/>
      <c r="AW15" s="239">
        <f t="shared" si="0"/>
        <v>0</v>
      </c>
      <c r="AX15" s="240"/>
      <c r="AY15" s="240"/>
      <c r="AZ15" s="240"/>
      <c r="BA15" s="240"/>
      <c r="BB15" s="240"/>
      <c r="BC15" s="240"/>
      <c r="BD15" s="240"/>
      <c r="BE15" s="240"/>
      <c r="BF15" s="241"/>
      <c r="BG15" s="5"/>
      <c r="BH15" s="5"/>
      <c r="BI15" s="371" t="s">
        <v>77</v>
      </c>
      <c r="BJ15" s="371"/>
      <c r="BK15" s="371"/>
      <c r="BL15" s="371"/>
      <c r="BM15" s="371"/>
      <c r="BN15" s="371"/>
      <c r="BO15" s="371"/>
      <c r="BP15" s="371"/>
      <c r="BQ15" s="371"/>
      <c r="BR15" s="371"/>
      <c r="BS15" s="371"/>
      <c r="BT15" s="371"/>
      <c r="BU15" s="371"/>
      <c r="BV15" s="5"/>
    </row>
    <row r="16" spans="1:74" ht="15" customHeight="1" thickBot="1" x14ac:dyDescent="0.3">
      <c r="A16" s="5"/>
      <c r="B16" s="227" t="s">
        <v>12</v>
      </c>
      <c r="C16" s="228"/>
      <c r="D16" s="228"/>
      <c r="E16" s="228"/>
      <c r="F16" s="228"/>
      <c r="G16" s="228"/>
      <c r="H16" s="228"/>
      <c r="I16" s="228"/>
      <c r="J16" s="228"/>
      <c r="K16" s="228"/>
      <c r="L16" s="228"/>
      <c r="M16" s="228"/>
      <c r="N16" s="228"/>
      <c r="O16" s="228"/>
      <c r="P16" s="228"/>
      <c r="Q16" s="228"/>
      <c r="R16" s="228"/>
      <c r="S16" s="228"/>
      <c r="T16" s="229"/>
      <c r="U16" s="230"/>
      <c r="V16" s="230"/>
      <c r="W16" s="230"/>
      <c r="X16" s="230"/>
      <c r="Y16" s="230"/>
      <c r="Z16" s="230"/>
      <c r="AA16" s="231"/>
      <c r="AB16" s="232"/>
      <c r="AC16" s="230"/>
      <c r="AD16" s="230"/>
      <c r="AE16" s="230"/>
      <c r="AF16" s="230"/>
      <c r="AG16" s="230"/>
      <c r="AH16" s="231"/>
      <c r="AI16" s="232"/>
      <c r="AJ16" s="230"/>
      <c r="AK16" s="230"/>
      <c r="AL16" s="230"/>
      <c r="AM16" s="230"/>
      <c r="AN16" s="230"/>
      <c r="AO16" s="231"/>
      <c r="AP16" s="232"/>
      <c r="AQ16" s="230"/>
      <c r="AR16" s="230"/>
      <c r="AS16" s="230"/>
      <c r="AT16" s="230"/>
      <c r="AU16" s="230"/>
      <c r="AV16" s="231"/>
      <c r="AW16" s="233">
        <f t="shared" si="0"/>
        <v>0</v>
      </c>
      <c r="AX16" s="234"/>
      <c r="AY16" s="234"/>
      <c r="AZ16" s="234"/>
      <c r="BA16" s="234"/>
      <c r="BB16" s="234"/>
      <c r="BC16" s="234"/>
      <c r="BD16" s="234"/>
      <c r="BE16" s="234"/>
      <c r="BF16" s="235"/>
      <c r="BG16" s="5"/>
      <c r="BH16" s="5"/>
      <c r="BI16" s="372"/>
      <c r="BJ16" s="372"/>
      <c r="BK16" s="372"/>
      <c r="BL16" s="372"/>
      <c r="BM16" s="372"/>
      <c r="BN16" s="372"/>
      <c r="BO16" s="372"/>
      <c r="BP16" s="372"/>
      <c r="BQ16" s="372"/>
      <c r="BR16" s="372"/>
      <c r="BS16" s="372"/>
      <c r="BT16" s="372"/>
      <c r="BU16" s="372"/>
      <c r="BV16" s="5"/>
    </row>
    <row r="17" spans="1:74" ht="15" customHeight="1" thickBot="1" x14ac:dyDescent="0.3">
      <c r="A17" s="5"/>
      <c r="B17" s="221" t="s">
        <v>13</v>
      </c>
      <c r="C17" s="222"/>
      <c r="D17" s="222"/>
      <c r="E17" s="222"/>
      <c r="F17" s="222"/>
      <c r="G17" s="222"/>
      <c r="H17" s="222"/>
      <c r="I17" s="222"/>
      <c r="J17" s="222"/>
      <c r="K17" s="222"/>
      <c r="L17" s="222"/>
      <c r="M17" s="222"/>
      <c r="N17" s="222"/>
      <c r="O17" s="222"/>
      <c r="P17" s="222"/>
      <c r="Q17" s="222"/>
      <c r="R17" s="222"/>
      <c r="S17" s="222"/>
      <c r="T17" s="223"/>
      <c r="U17" s="171">
        <f>U15-U16</f>
        <v>0</v>
      </c>
      <c r="V17" s="171"/>
      <c r="W17" s="171"/>
      <c r="X17" s="171"/>
      <c r="Y17" s="171"/>
      <c r="Z17" s="171"/>
      <c r="AA17" s="172"/>
      <c r="AB17" s="224">
        <f>AB15-AB16</f>
        <v>0</v>
      </c>
      <c r="AC17" s="225"/>
      <c r="AD17" s="225"/>
      <c r="AE17" s="225"/>
      <c r="AF17" s="225"/>
      <c r="AG17" s="225"/>
      <c r="AH17" s="226"/>
      <c r="AI17" s="224">
        <f>AI15-AI16</f>
        <v>0</v>
      </c>
      <c r="AJ17" s="225"/>
      <c r="AK17" s="225"/>
      <c r="AL17" s="225"/>
      <c r="AM17" s="225"/>
      <c r="AN17" s="225"/>
      <c r="AO17" s="226"/>
      <c r="AP17" s="224">
        <f>AP15-AP16</f>
        <v>0</v>
      </c>
      <c r="AQ17" s="225"/>
      <c r="AR17" s="225"/>
      <c r="AS17" s="225"/>
      <c r="AT17" s="225"/>
      <c r="AU17" s="225"/>
      <c r="AV17" s="225"/>
      <c r="AW17" s="224">
        <f t="shared" si="0"/>
        <v>0</v>
      </c>
      <c r="AX17" s="225"/>
      <c r="AY17" s="225"/>
      <c r="AZ17" s="225"/>
      <c r="BA17" s="225"/>
      <c r="BB17" s="225"/>
      <c r="BC17" s="225"/>
      <c r="BD17" s="225"/>
      <c r="BE17" s="225"/>
      <c r="BF17" s="226"/>
      <c r="BG17" s="5"/>
      <c r="BH17" s="5"/>
      <c r="BI17" s="303" t="s">
        <v>57</v>
      </c>
      <c r="BJ17" s="303"/>
      <c r="BK17" s="303"/>
      <c r="BL17" s="303"/>
      <c r="BM17" s="303"/>
      <c r="BN17" s="303"/>
      <c r="BO17" s="303"/>
      <c r="BP17" s="303"/>
      <c r="BQ17" s="303"/>
      <c r="BR17" s="303"/>
      <c r="BS17" s="303"/>
      <c r="BT17" s="303"/>
      <c r="BU17" s="303"/>
      <c r="BV17" s="5"/>
    </row>
    <row r="18" spans="1:74" ht="15" customHeight="1" thickTop="1" thickBot="1" x14ac:dyDescent="0.3">
      <c r="A18" s="5"/>
      <c r="B18" s="134" t="s">
        <v>14</v>
      </c>
      <c r="C18" s="135"/>
      <c r="D18" s="135"/>
      <c r="E18" s="135"/>
      <c r="F18" s="135"/>
      <c r="G18" s="135"/>
      <c r="H18" s="135"/>
      <c r="I18" s="135"/>
      <c r="J18" s="135"/>
      <c r="K18" s="135"/>
      <c r="L18" s="135"/>
      <c r="M18" s="135"/>
      <c r="N18" s="135"/>
      <c r="O18" s="135"/>
      <c r="P18" s="135"/>
      <c r="Q18" s="135"/>
      <c r="R18" s="135"/>
      <c r="S18" s="135"/>
      <c r="T18" s="136"/>
      <c r="U18" s="137"/>
      <c r="V18" s="137"/>
      <c r="W18" s="137"/>
      <c r="X18" s="137"/>
      <c r="Y18" s="137"/>
      <c r="Z18" s="137"/>
      <c r="AA18" s="138"/>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1"/>
      <c r="BG18" s="5"/>
      <c r="BH18" s="5"/>
      <c r="BI18" s="303"/>
      <c r="BJ18" s="303"/>
      <c r="BK18" s="303"/>
      <c r="BL18" s="303"/>
      <c r="BM18" s="303"/>
      <c r="BN18" s="303"/>
      <c r="BO18" s="303"/>
      <c r="BP18" s="303"/>
      <c r="BQ18" s="303"/>
      <c r="BR18" s="303"/>
      <c r="BS18" s="303"/>
      <c r="BT18" s="303"/>
      <c r="BU18" s="303"/>
      <c r="BV18" s="5"/>
    </row>
    <row r="19" spans="1:74" ht="5.45" customHeight="1" thickBot="1" x14ac:dyDescent="0.3">
      <c r="A19" s="5"/>
      <c r="B19" s="6"/>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8"/>
      <c r="BG19" s="5"/>
      <c r="BH19" s="5"/>
      <c r="BI19" s="5"/>
      <c r="BJ19" s="5"/>
      <c r="BK19" s="5"/>
      <c r="BL19" s="43"/>
      <c r="BM19" s="43"/>
      <c r="BN19" s="43"/>
      <c r="BO19" s="43"/>
      <c r="BP19" s="43"/>
      <c r="BQ19" s="43"/>
      <c r="BR19" s="43"/>
      <c r="BS19" s="43"/>
      <c r="BT19" s="43"/>
      <c r="BU19" s="43"/>
      <c r="BV19" s="5"/>
    </row>
    <row r="20" spans="1:74" x14ac:dyDescent="0.25">
      <c r="A20" s="5"/>
      <c r="B20" s="209" t="s">
        <v>82</v>
      </c>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09" t="s">
        <v>15</v>
      </c>
      <c r="AQ20" s="210"/>
      <c r="AR20" s="210"/>
      <c r="AS20" s="210"/>
      <c r="AT20" s="210"/>
      <c r="AU20" s="210"/>
      <c r="AV20" s="213"/>
      <c r="AW20" s="210" t="s">
        <v>16</v>
      </c>
      <c r="AX20" s="210"/>
      <c r="AY20" s="210"/>
      <c r="AZ20" s="210"/>
      <c r="BA20" s="210"/>
      <c r="BB20" s="210"/>
      <c r="BC20" s="210"/>
      <c r="BD20" s="210"/>
      <c r="BE20" s="210"/>
      <c r="BF20" s="213"/>
      <c r="BG20" s="5"/>
      <c r="BH20" s="5"/>
      <c r="BI20" s="5"/>
      <c r="BJ20" s="5"/>
      <c r="BK20" s="5"/>
      <c r="BL20" s="43"/>
      <c r="BM20" s="311" t="s">
        <v>63</v>
      </c>
      <c r="BN20" s="311"/>
      <c r="BO20" s="43"/>
      <c r="BP20" s="311" t="s">
        <v>64</v>
      </c>
      <c r="BQ20" s="311"/>
      <c r="BR20" s="43"/>
      <c r="BS20" s="311" t="s">
        <v>48</v>
      </c>
      <c r="BT20" s="311"/>
      <c r="BU20" s="311"/>
      <c r="BV20" s="5"/>
    </row>
    <row r="21" spans="1:74" ht="8.65" customHeight="1" thickBot="1" x14ac:dyDescent="0.3">
      <c r="A21" s="5"/>
      <c r="B21" s="211"/>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1"/>
      <c r="AQ21" s="212"/>
      <c r="AR21" s="212"/>
      <c r="AS21" s="212"/>
      <c r="AT21" s="212"/>
      <c r="AU21" s="212"/>
      <c r="AV21" s="214"/>
      <c r="AW21" s="212"/>
      <c r="AX21" s="212"/>
      <c r="AY21" s="212"/>
      <c r="AZ21" s="212"/>
      <c r="BA21" s="212"/>
      <c r="BB21" s="212"/>
      <c r="BC21" s="212"/>
      <c r="BD21" s="212"/>
      <c r="BE21" s="212"/>
      <c r="BF21" s="214"/>
      <c r="BG21" s="5"/>
      <c r="BH21" s="5"/>
      <c r="BI21" s="5"/>
      <c r="BJ21" s="5"/>
      <c r="BK21" s="5"/>
      <c r="BL21" s="43"/>
      <c r="BM21" s="43"/>
      <c r="BN21" s="5"/>
      <c r="BO21" s="5"/>
      <c r="BP21" s="43"/>
      <c r="BQ21" s="43"/>
      <c r="BR21" s="43"/>
      <c r="BS21" s="43"/>
      <c r="BT21" s="43"/>
      <c r="BU21" s="43"/>
      <c r="BV21" s="5"/>
    </row>
    <row r="22" spans="1:74" ht="15" customHeight="1" x14ac:dyDescent="0.3">
      <c r="A22" s="5"/>
      <c r="B22" s="215" t="s">
        <v>17</v>
      </c>
      <c r="C22" s="216"/>
      <c r="D22" s="216"/>
      <c r="E22" s="216"/>
      <c r="F22" s="216"/>
      <c r="G22" s="216"/>
      <c r="H22" s="216"/>
      <c r="I22" s="216"/>
      <c r="J22" s="216"/>
      <c r="K22" s="216"/>
      <c r="L22" s="216"/>
      <c r="M22" s="216"/>
      <c r="N22" s="216"/>
      <c r="O22" s="216"/>
      <c r="P22" s="216"/>
      <c r="Q22" s="216"/>
      <c r="R22" s="216"/>
      <c r="S22" s="216"/>
      <c r="T22" s="216"/>
      <c r="U22" s="216"/>
      <c r="V22" s="216"/>
      <c r="W22" s="216"/>
      <c r="X22" s="216"/>
      <c r="Y22" s="216"/>
      <c r="Z22" s="216"/>
      <c r="AA22" s="216"/>
      <c r="AB22" s="216"/>
      <c r="AC22" s="216"/>
      <c r="AD22" s="216"/>
      <c r="AE22" s="216"/>
      <c r="AF22" s="216"/>
      <c r="AG22" s="216"/>
      <c r="AH22" s="216"/>
      <c r="AI22" s="216"/>
      <c r="AJ22" s="216"/>
      <c r="AK22" s="216"/>
      <c r="AL22" s="216"/>
      <c r="AM22" s="216"/>
      <c r="AN22" s="216"/>
      <c r="AO22" s="217"/>
      <c r="AP22" s="218"/>
      <c r="AQ22" s="219"/>
      <c r="AR22" s="219"/>
      <c r="AS22" s="219"/>
      <c r="AT22" s="219"/>
      <c r="AU22" s="219"/>
      <c r="AV22" s="220"/>
      <c r="AW22" s="218"/>
      <c r="AX22" s="219"/>
      <c r="AY22" s="219"/>
      <c r="AZ22" s="219"/>
      <c r="BA22" s="219"/>
      <c r="BB22" s="219"/>
      <c r="BC22" s="219"/>
      <c r="BD22" s="219"/>
      <c r="BE22" s="219"/>
      <c r="BF22" s="220"/>
      <c r="BG22" s="5"/>
      <c r="BH22" s="5"/>
      <c r="BI22" s="304" t="s">
        <v>58</v>
      </c>
      <c r="BJ22" s="305"/>
      <c r="BK22" s="306"/>
      <c r="BL22" s="43"/>
      <c r="BM22" s="312">
        <f>+U16</f>
        <v>0</v>
      </c>
      <c r="BN22" s="313"/>
      <c r="BO22" s="45"/>
      <c r="BP22" s="312">
        <f>+U28*$BU$4</f>
        <v>0</v>
      </c>
      <c r="BQ22" s="313"/>
      <c r="BR22" s="46"/>
      <c r="BS22" s="317">
        <f>+BM22-BP22</f>
        <v>0</v>
      </c>
      <c r="BT22" s="318"/>
      <c r="BU22" s="322" t="str">
        <f>IF(BS22&gt;0,"SOBRANTE",IF(BS22=0,"SIN DIFERENCIA","FALTANTE"))</f>
        <v>SIN DIFERENCIA</v>
      </c>
      <c r="BV22" s="5"/>
    </row>
    <row r="23" spans="1:74" ht="15" customHeight="1" x14ac:dyDescent="0.3">
      <c r="A23" s="5"/>
      <c r="B23" s="203" t="s">
        <v>18</v>
      </c>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204"/>
      <c r="AI23" s="204"/>
      <c r="AJ23" s="204"/>
      <c r="AK23" s="204"/>
      <c r="AL23" s="204"/>
      <c r="AM23" s="204"/>
      <c r="AN23" s="204"/>
      <c r="AO23" s="205"/>
      <c r="AP23" s="150"/>
      <c r="AQ23" s="151"/>
      <c r="AR23" s="151"/>
      <c r="AS23" s="151"/>
      <c r="AT23" s="151"/>
      <c r="AU23" s="151"/>
      <c r="AV23" s="152"/>
      <c r="AW23" s="206"/>
      <c r="AX23" s="207"/>
      <c r="AY23" s="207"/>
      <c r="AZ23" s="207"/>
      <c r="BA23" s="207"/>
      <c r="BB23" s="207"/>
      <c r="BC23" s="207"/>
      <c r="BD23" s="207"/>
      <c r="BE23" s="207"/>
      <c r="BF23" s="208"/>
      <c r="BG23" s="5"/>
      <c r="BH23" s="5"/>
      <c r="BI23" s="307"/>
      <c r="BJ23" s="308"/>
      <c r="BK23" s="309"/>
      <c r="BL23" s="5"/>
      <c r="BM23" s="314"/>
      <c r="BN23" s="315"/>
      <c r="BO23" s="45"/>
      <c r="BP23" s="314"/>
      <c r="BQ23" s="315"/>
      <c r="BR23" s="46"/>
      <c r="BS23" s="319"/>
      <c r="BT23" s="320"/>
      <c r="BU23" s="323"/>
      <c r="BV23" s="5"/>
    </row>
    <row r="24" spans="1:74" ht="15" customHeight="1" thickBot="1" x14ac:dyDescent="0.35">
      <c r="A24" s="5"/>
      <c r="B24" s="203" t="s">
        <v>19</v>
      </c>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c r="AD24" s="204"/>
      <c r="AE24" s="204"/>
      <c r="AF24" s="204"/>
      <c r="AG24" s="204"/>
      <c r="AH24" s="204"/>
      <c r="AI24" s="204"/>
      <c r="AJ24" s="204"/>
      <c r="AK24" s="204"/>
      <c r="AL24" s="204"/>
      <c r="AM24" s="204"/>
      <c r="AN24" s="204"/>
      <c r="AO24" s="205"/>
      <c r="AP24" s="150"/>
      <c r="AQ24" s="151"/>
      <c r="AR24" s="151"/>
      <c r="AS24" s="151"/>
      <c r="AT24" s="151"/>
      <c r="AU24" s="151"/>
      <c r="AV24" s="152"/>
      <c r="AW24" s="206"/>
      <c r="AX24" s="207"/>
      <c r="AY24" s="207"/>
      <c r="AZ24" s="207"/>
      <c r="BA24" s="207"/>
      <c r="BB24" s="207"/>
      <c r="BC24" s="207"/>
      <c r="BD24" s="207"/>
      <c r="BE24" s="207"/>
      <c r="BF24" s="208"/>
      <c r="BG24" s="5"/>
      <c r="BH24" s="5"/>
      <c r="BI24" s="307" t="s">
        <v>59</v>
      </c>
      <c r="BJ24" s="308"/>
      <c r="BK24" s="309"/>
      <c r="BL24" s="43"/>
      <c r="BM24" s="316">
        <f>+AB16</f>
        <v>0</v>
      </c>
      <c r="BN24" s="315"/>
      <c r="BO24" s="45"/>
      <c r="BP24" s="316">
        <f>+AB28*$BU$5</f>
        <v>0</v>
      </c>
      <c r="BQ24" s="315"/>
      <c r="BR24" s="46"/>
      <c r="BS24" s="321">
        <f>+BM24-BP24</f>
        <v>0</v>
      </c>
      <c r="BT24" s="320"/>
      <c r="BU24" s="323" t="str">
        <f>IF(BS24&gt;0,"SOBRANTE",IF(BS24=0,"SIN DIFERENCIA","FALTANTE"))</f>
        <v>SIN DIFERENCIA</v>
      </c>
      <c r="BV24" s="5"/>
    </row>
    <row r="25" spans="1:74" ht="15" customHeight="1" thickTop="1" thickBot="1" x14ac:dyDescent="0.35">
      <c r="A25" s="5"/>
      <c r="B25" s="9" t="s">
        <v>7</v>
      </c>
      <c r="C25" s="10"/>
      <c r="D25" s="10"/>
      <c r="E25" s="10"/>
      <c r="F25" s="10"/>
      <c r="G25" s="10"/>
      <c r="H25" s="10"/>
      <c r="I25" s="10"/>
      <c r="J25" s="10"/>
      <c r="K25" s="10"/>
      <c r="L25" s="10"/>
      <c r="M25" s="10"/>
      <c r="N25" s="10"/>
      <c r="O25" s="10"/>
      <c r="P25" s="10"/>
      <c r="Q25" s="10"/>
      <c r="R25" s="10"/>
      <c r="S25" s="10"/>
      <c r="T25" s="10"/>
      <c r="U25" s="194"/>
      <c r="V25" s="194"/>
      <c r="W25" s="194"/>
      <c r="X25" s="194"/>
      <c r="Y25" s="194"/>
      <c r="Z25" s="194"/>
      <c r="AA25" s="194"/>
      <c r="AB25" s="10"/>
      <c r="AC25" s="10"/>
      <c r="AD25" s="10"/>
      <c r="AE25" s="10"/>
      <c r="AF25" s="10"/>
      <c r="AG25" s="10"/>
      <c r="AH25" s="10"/>
      <c r="AI25" s="10"/>
      <c r="AJ25" s="10"/>
      <c r="AK25" s="10"/>
      <c r="AL25" s="10"/>
      <c r="AM25" s="10"/>
      <c r="AN25" s="10"/>
      <c r="AO25" s="11"/>
      <c r="AP25" s="195">
        <f>AP22+AP23+AP24</f>
        <v>0</v>
      </c>
      <c r="AQ25" s="196"/>
      <c r="AR25" s="196"/>
      <c r="AS25" s="196"/>
      <c r="AT25" s="196"/>
      <c r="AU25" s="196"/>
      <c r="AV25" s="196"/>
      <c r="AW25" s="196">
        <f>+AW22</f>
        <v>0</v>
      </c>
      <c r="AX25" s="196"/>
      <c r="AY25" s="196"/>
      <c r="AZ25" s="196"/>
      <c r="BA25" s="196"/>
      <c r="BB25" s="196"/>
      <c r="BC25" s="196"/>
      <c r="BD25" s="196"/>
      <c r="BE25" s="196"/>
      <c r="BF25" s="196"/>
      <c r="BG25" s="5"/>
      <c r="BH25" s="5"/>
      <c r="BI25" s="307"/>
      <c r="BJ25" s="308"/>
      <c r="BK25" s="309"/>
      <c r="BL25" s="43"/>
      <c r="BM25" s="314"/>
      <c r="BN25" s="315"/>
      <c r="BO25" s="45"/>
      <c r="BP25" s="314"/>
      <c r="BQ25" s="315"/>
      <c r="BR25" s="46"/>
      <c r="BS25" s="319"/>
      <c r="BT25" s="320"/>
      <c r="BU25" s="323" t="str">
        <f>IF(BS25&gt;0,"Sobrante",IF(BS25=0,"Sin Diferencia","Faltante"))</f>
        <v>Sin Diferencia</v>
      </c>
      <c r="BV25" s="5"/>
    </row>
    <row r="26" spans="1:74" ht="15" customHeight="1" thickBot="1" x14ac:dyDescent="0.35">
      <c r="A26" s="5"/>
      <c r="B26" s="197" t="s">
        <v>83</v>
      </c>
      <c r="C26" s="198"/>
      <c r="D26" s="198"/>
      <c r="E26" s="198"/>
      <c r="F26" s="198"/>
      <c r="G26" s="198"/>
      <c r="H26" s="198"/>
      <c r="I26" s="198"/>
      <c r="J26" s="198"/>
      <c r="K26" s="198"/>
      <c r="L26" s="198"/>
      <c r="M26" s="198"/>
      <c r="N26" s="198"/>
      <c r="O26" s="198"/>
      <c r="P26" s="198"/>
      <c r="Q26" s="198"/>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98"/>
      <c r="AU26" s="198"/>
      <c r="AV26" s="198"/>
      <c r="AW26" s="198"/>
      <c r="AX26" s="198"/>
      <c r="AY26" s="198"/>
      <c r="AZ26" s="198"/>
      <c r="BA26" s="198"/>
      <c r="BB26" s="198"/>
      <c r="BC26" s="198"/>
      <c r="BD26" s="198"/>
      <c r="BE26" s="198"/>
      <c r="BF26" s="199"/>
      <c r="BG26" s="5"/>
      <c r="BH26" s="5"/>
      <c r="BI26" s="339" t="s">
        <v>60</v>
      </c>
      <c r="BJ26" s="340"/>
      <c r="BK26" s="341"/>
      <c r="BL26" s="43"/>
      <c r="BM26" s="316">
        <f>+AI16</f>
        <v>0</v>
      </c>
      <c r="BN26" s="315"/>
      <c r="BO26" s="45"/>
      <c r="BP26" s="345">
        <f>+AI28*$BU$6</f>
        <v>0</v>
      </c>
      <c r="BQ26" s="346"/>
      <c r="BR26" s="46"/>
      <c r="BS26" s="321">
        <f>+BM26-BP26</f>
        <v>0</v>
      </c>
      <c r="BT26" s="349"/>
      <c r="BU26" s="323" t="str">
        <f>IF(BS26&gt;0,"SOBRANTE",IF(BS26=0,"SIN DIFERENCIA","FALTANTE"))</f>
        <v>SIN DIFERENCIA</v>
      </c>
      <c r="BV26" s="5"/>
    </row>
    <row r="27" spans="1:74" ht="15" customHeight="1" thickBot="1" x14ac:dyDescent="0.35">
      <c r="A27" s="5"/>
      <c r="B27" s="133" t="s">
        <v>6</v>
      </c>
      <c r="C27" s="131"/>
      <c r="D27" s="131"/>
      <c r="E27" s="131"/>
      <c r="F27" s="131"/>
      <c r="G27" s="131"/>
      <c r="H27" s="131"/>
      <c r="I27" s="131"/>
      <c r="J27" s="131"/>
      <c r="K27" s="131"/>
      <c r="L27" s="131"/>
      <c r="M27" s="131"/>
      <c r="N27" s="131"/>
      <c r="O27" s="131"/>
      <c r="P27" s="131"/>
      <c r="Q27" s="131"/>
      <c r="R27" s="131"/>
      <c r="S27" s="131"/>
      <c r="T27" s="132"/>
      <c r="U27" s="133" t="s">
        <v>58</v>
      </c>
      <c r="V27" s="131"/>
      <c r="W27" s="131"/>
      <c r="X27" s="131"/>
      <c r="Y27" s="131"/>
      <c r="Z27" s="131"/>
      <c r="AA27" s="132"/>
      <c r="AB27" s="133" t="s">
        <v>59</v>
      </c>
      <c r="AC27" s="131"/>
      <c r="AD27" s="131"/>
      <c r="AE27" s="131"/>
      <c r="AF27" s="131"/>
      <c r="AG27" s="131"/>
      <c r="AH27" s="132"/>
      <c r="AI27" s="133" t="s">
        <v>60</v>
      </c>
      <c r="AJ27" s="131"/>
      <c r="AK27" s="131"/>
      <c r="AL27" s="131"/>
      <c r="AM27" s="131"/>
      <c r="AN27" s="131"/>
      <c r="AO27" s="132"/>
      <c r="AP27" s="133" t="s">
        <v>61</v>
      </c>
      <c r="AQ27" s="131"/>
      <c r="AR27" s="131"/>
      <c r="AS27" s="131"/>
      <c r="AT27" s="131"/>
      <c r="AU27" s="131"/>
      <c r="AV27" s="132"/>
      <c r="AW27" s="200" t="s">
        <v>7</v>
      </c>
      <c r="AX27" s="201"/>
      <c r="AY27" s="201"/>
      <c r="AZ27" s="201"/>
      <c r="BA27" s="201"/>
      <c r="BB27" s="201"/>
      <c r="BC27" s="201"/>
      <c r="BD27" s="201"/>
      <c r="BE27" s="201"/>
      <c r="BF27" s="202"/>
      <c r="BG27" s="5"/>
      <c r="BH27" s="5"/>
      <c r="BI27" s="342"/>
      <c r="BJ27" s="343"/>
      <c r="BK27" s="344"/>
      <c r="BL27" s="43"/>
      <c r="BM27" s="314"/>
      <c r="BN27" s="315"/>
      <c r="BO27" s="45"/>
      <c r="BP27" s="347"/>
      <c r="BQ27" s="348"/>
      <c r="BR27" s="46"/>
      <c r="BS27" s="321"/>
      <c r="BT27" s="349"/>
      <c r="BU27" s="323"/>
      <c r="BV27" s="5"/>
    </row>
    <row r="28" spans="1:74" ht="15" customHeight="1" x14ac:dyDescent="0.25">
      <c r="A28" s="5"/>
      <c r="B28" s="188" t="s">
        <v>20</v>
      </c>
      <c r="C28" s="189"/>
      <c r="D28" s="189"/>
      <c r="E28" s="189"/>
      <c r="F28" s="189"/>
      <c r="G28" s="189"/>
      <c r="H28" s="189"/>
      <c r="I28" s="189"/>
      <c r="J28" s="189"/>
      <c r="K28" s="189"/>
      <c r="L28" s="189"/>
      <c r="M28" s="189"/>
      <c r="N28" s="189"/>
      <c r="O28" s="189"/>
      <c r="P28" s="189"/>
      <c r="Q28" s="189"/>
      <c r="R28" s="189"/>
      <c r="S28" s="189"/>
      <c r="T28" s="190"/>
      <c r="U28" s="191">
        <f>U16/1000</f>
        <v>0</v>
      </c>
      <c r="V28" s="191"/>
      <c r="W28" s="191"/>
      <c r="X28" s="191"/>
      <c r="Y28" s="191"/>
      <c r="Z28" s="191"/>
      <c r="AA28" s="192"/>
      <c r="AB28" s="193">
        <f>AB16/BU5</f>
        <v>0</v>
      </c>
      <c r="AC28" s="191"/>
      <c r="AD28" s="191"/>
      <c r="AE28" s="191"/>
      <c r="AF28" s="191"/>
      <c r="AG28" s="191"/>
      <c r="AH28" s="192"/>
      <c r="AI28" s="193">
        <f>AI16/10000</f>
        <v>0</v>
      </c>
      <c r="AJ28" s="191"/>
      <c r="AK28" s="191"/>
      <c r="AL28" s="191"/>
      <c r="AM28" s="191"/>
      <c r="AN28" s="191"/>
      <c r="AO28" s="192"/>
      <c r="AP28" s="193">
        <f>AP16/20000</f>
        <v>0</v>
      </c>
      <c r="AQ28" s="191"/>
      <c r="AR28" s="191"/>
      <c r="AS28" s="191"/>
      <c r="AT28" s="191"/>
      <c r="AU28" s="191"/>
      <c r="AV28" s="192"/>
      <c r="AW28" s="165">
        <f>U28+AB28+AI28+AP28</f>
        <v>0</v>
      </c>
      <c r="AX28" s="166"/>
      <c r="AY28" s="166"/>
      <c r="AZ28" s="166"/>
      <c r="BA28" s="166"/>
      <c r="BB28" s="166"/>
      <c r="BC28" s="166"/>
      <c r="BD28" s="166"/>
      <c r="BE28" s="166"/>
      <c r="BF28" s="167"/>
      <c r="BG28" s="5"/>
      <c r="BH28" s="5"/>
      <c r="BI28" s="339" t="s">
        <v>61</v>
      </c>
      <c r="BJ28" s="340"/>
      <c r="BK28" s="341"/>
      <c r="BL28" s="43"/>
      <c r="BM28" s="316">
        <f>+AP16</f>
        <v>0</v>
      </c>
      <c r="BN28" s="315"/>
      <c r="BO28" s="46"/>
      <c r="BP28" s="345">
        <f>+AP28*$BU$7</f>
        <v>0</v>
      </c>
      <c r="BQ28" s="346"/>
      <c r="BR28" s="46"/>
      <c r="BS28" s="321">
        <f>+BM28-BP28</f>
        <v>0</v>
      </c>
      <c r="BT28" s="349"/>
      <c r="BU28" s="323" t="str">
        <f>IF(BS28&gt;0,"SOBRANTE",IF(BS28=0,"SIN DIFERENCIA","FALTANTE"))</f>
        <v>SIN DIFERENCIA</v>
      </c>
      <c r="BV28" s="5"/>
    </row>
    <row r="29" spans="1:74" ht="15" customHeight="1" thickBot="1" x14ac:dyDescent="0.3">
      <c r="A29" s="5"/>
      <c r="B29" s="185" t="s">
        <v>21</v>
      </c>
      <c r="C29" s="186"/>
      <c r="D29" s="186"/>
      <c r="E29" s="186"/>
      <c r="F29" s="186"/>
      <c r="G29" s="186"/>
      <c r="H29" s="186"/>
      <c r="I29" s="186"/>
      <c r="J29" s="186"/>
      <c r="K29" s="186"/>
      <c r="L29" s="186"/>
      <c r="M29" s="186"/>
      <c r="N29" s="186"/>
      <c r="O29" s="186"/>
      <c r="P29" s="186"/>
      <c r="Q29" s="186"/>
      <c r="R29" s="186"/>
      <c r="S29" s="186"/>
      <c r="T29" s="187"/>
      <c r="U29" s="150">
        <f>U17/1000</f>
        <v>0</v>
      </c>
      <c r="V29" s="151"/>
      <c r="W29" s="151"/>
      <c r="X29" s="151"/>
      <c r="Y29" s="151"/>
      <c r="Z29" s="151"/>
      <c r="AA29" s="152"/>
      <c r="AB29" s="150">
        <f>AB17/2000</f>
        <v>0</v>
      </c>
      <c r="AC29" s="151"/>
      <c r="AD29" s="151"/>
      <c r="AE29" s="151"/>
      <c r="AF29" s="151"/>
      <c r="AG29" s="151"/>
      <c r="AH29" s="152"/>
      <c r="AI29" s="150">
        <f>AI17/10000</f>
        <v>0</v>
      </c>
      <c r="AJ29" s="151"/>
      <c r="AK29" s="151"/>
      <c r="AL29" s="151"/>
      <c r="AM29" s="151"/>
      <c r="AN29" s="151"/>
      <c r="AO29" s="152"/>
      <c r="AP29" s="150">
        <f>AP17/20000</f>
        <v>0</v>
      </c>
      <c r="AQ29" s="151"/>
      <c r="AR29" s="151"/>
      <c r="AS29" s="151"/>
      <c r="AT29" s="151"/>
      <c r="AU29" s="151"/>
      <c r="AV29" s="152"/>
      <c r="AW29" s="156">
        <f>U29+AB29+AI29+AP29</f>
        <v>0</v>
      </c>
      <c r="AX29" s="157"/>
      <c r="AY29" s="157"/>
      <c r="AZ29" s="157"/>
      <c r="BA29" s="157"/>
      <c r="BB29" s="157"/>
      <c r="BC29" s="157"/>
      <c r="BD29" s="157"/>
      <c r="BE29" s="157"/>
      <c r="BF29" s="158"/>
      <c r="BG29" s="5"/>
      <c r="BH29" s="5"/>
      <c r="BI29" s="342"/>
      <c r="BJ29" s="343"/>
      <c r="BK29" s="344"/>
      <c r="BL29" s="43"/>
      <c r="BM29" s="314"/>
      <c r="BN29" s="315"/>
      <c r="BO29" s="46"/>
      <c r="BP29" s="347"/>
      <c r="BQ29" s="348"/>
      <c r="BR29" s="46"/>
      <c r="BS29" s="321"/>
      <c r="BT29" s="349"/>
      <c r="BU29" s="323"/>
      <c r="BV29" s="5"/>
    </row>
    <row r="30" spans="1:74" ht="15" customHeight="1" thickTop="1" thickBot="1" x14ac:dyDescent="0.3">
      <c r="A30" s="5"/>
      <c r="B30" s="134" t="s">
        <v>22</v>
      </c>
      <c r="C30" s="135"/>
      <c r="D30" s="135"/>
      <c r="E30" s="135"/>
      <c r="F30" s="135"/>
      <c r="G30" s="135"/>
      <c r="H30" s="135"/>
      <c r="I30" s="135"/>
      <c r="J30" s="135"/>
      <c r="K30" s="135"/>
      <c r="L30" s="135"/>
      <c r="M30" s="135"/>
      <c r="N30" s="135"/>
      <c r="O30" s="135"/>
      <c r="P30" s="135"/>
      <c r="Q30" s="135"/>
      <c r="R30" s="135"/>
      <c r="S30" s="135"/>
      <c r="T30" s="136"/>
      <c r="U30" s="182">
        <f>U28+U29</f>
        <v>0</v>
      </c>
      <c r="V30" s="182"/>
      <c r="W30" s="182"/>
      <c r="X30" s="182"/>
      <c r="Y30" s="182"/>
      <c r="Z30" s="182"/>
      <c r="AA30" s="183"/>
      <c r="AB30" s="184">
        <f>AB28+AB29</f>
        <v>0</v>
      </c>
      <c r="AC30" s="182"/>
      <c r="AD30" s="182"/>
      <c r="AE30" s="182"/>
      <c r="AF30" s="182"/>
      <c r="AG30" s="182"/>
      <c r="AH30" s="183"/>
      <c r="AI30" s="182">
        <f>AI28+AI29</f>
        <v>0</v>
      </c>
      <c r="AJ30" s="182"/>
      <c r="AK30" s="182"/>
      <c r="AL30" s="182"/>
      <c r="AM30" s="182"/>
      <c r="AN30" s="182"/>
      <c r="AO30" s="183"/>
      <c r="AP30" s="182">
        <f>AP28+AP29</f>
        <v>0</v>
      </c>
      <c r="AQ30" s="182"/>
      <c r="AR30" s="182"/>
      <c r="AS30" s="182"/>
      <c r="AT30" s="182"/>
      <c r="AU30" s="182"/>
      <c r="AV30" s="183"/>
      <c r="AW30" s="147">
        <f>AW28+AW29</f>
        <v>0</v>
      </c>
      <c r="AX30" s="148"/>
      <c r="AY30" s="148"/>
      <c r="AZ30" s="148"/>
      <c r="BA30" s="148"/>
      <c r="BB30" s="148"/>
      <c r="BC30" s="148"/>
      <c r="BD30" s="148"/>
      <c r="BE30" s="148"/>
      <c r="BF30" s="149"/>
      <c r="BG30" s="5"/>
      <c r="BH30" s="5"/>
      <c r="BI30" s="288" t="s">
        <v>22</v>
      </c>
      <c r="BJ30" s="289"/>
      <c r="BK30" s="290"/>
      <c r="BL30" s="43"/>
      <c r="BM30" s="294">
        <f>+BM28+BM26+BM24+BM22</f>
        <v>0</v>
      </c>
      <c r="BN30" s="295"/>
      <c r="BO30" s="43"/>
      <c r="BP30" s="294">
        <f>+BP28+BP26+BP24+BP22</f>
        <v>0</v>
      </c>
      <c r="BQ30" s="295"/>
      <c r="BR30" s="43"/>
      <c r="BS30" s="294">
        <f>+BM30-BP30</f>
        <v>0</v>
      </c>
      <c r="BT30" s="300"/>
      <c r="BU30" s="290" t="str">
        <f>IF(BS30&gt;0,"SOBRANTE",IF(BS30=0,"SIN DIFERENCIA","FALTANTE"))</f>
        <v>SIN DIFERENCIA</v>
      </c>
      <c r="BV30" s="5"/>
    </row>
    <row r="31" spans="1:74" ht="5.45" customHeight="1" x14ac:dyDescent="0.25">
      <c r="A31" s="5"/>
      <c r="B31" s="12"/>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7"/>
      <c r="AQ31" s="7"/>
      <c r="AR31" s="7"/>
      <c r="AS31" s="7"/>
      <c r="AT31" s="7"/>
      <c r="AU31" s="7"/>
      <c r="AV31" s="7"/>
      <c r="AW31" s="7"/>
      <c r="AX31" s="7"/>
      <c r="AY31" s="7"/>
      <c r="AZ31" s="7"/>
      <c r="BA31" s="7"/>
      <c r="BB31" s="7"/>
      <c r="BC31" s="7"/>
      <c r="BD31" s="7"/>
      <c r="BE31" s="7"/>
      <c r="BF31" s="8"/>
      <c r="BG31" s="5"/>
      <c r="BH31" s="5"/>
      <c r="BI31" s="288"/>
      <c r="BJ31" s="289"/>
      <c r="BK31" s="290"/>
      <c r="BL31" s="43"/>
      <c r="BM31" s="296"/>
      <c r="BN31" s="297"/>
      <c r="BO31" s="43"/>
      <c r="BP31" s="296"/>
      <c r="BQ31" s="297"/>
      <c r="BR31" s="43"/>
      <c r="BS31" s="296"/>
      <c r="BT31" s="301"/>
      <c r="BU31" s="290"/>
      <c r="BV31" s="5"/>
    </row>
    <row r="32" spans="1:74" ht="6.95" customHeight="1" thickBot="1" x14ac:dyDescent="0.3">
      <c r="A32" s="5"/>
      <c r="B32" s="6"/>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8"/>
      <c r="BG32" s="5"/>
      <c r="BH32" s="5"/>
      <c r="BI32" s="291"/>
      <c r="BJ32" s="292"/>
      <c r="BK32" s="293"/>
      <c r="BL32" s="43"/>
      <c r="BM32" s="298"/>
      <c r="BN32" s="299"/>
      <c r="BO32" s="43"/>
      <c r="BP32" s="298"/>
      <c r="BQ32" s="299"/>
      <c r="BR32" s="43"/>
      <c r="BS32" s="298"/>
      <c r="BT32" s="302"/>
      <c r="BU32" s="293"/>
      <c r="BV32" s="5"/>
    </row>
    <row r="33" spans="1:74" ht="15.75" customHeight="1" thickBot="1" x14ac:dyDescent="0.3">
      <c r="A33" s="5"/>
      <c r="B33" s="173" t="s">
        <v>23</v>
      </c>
      <c r="C33" s="174"/>
      <c r="D33" s="174"/>
      <c r="E33" s="174"/>
      <c r="F33" s="174"/>
      <c r="G33" s="174"/>
      <c r="H33" s="174"/>
      <c r="I33" s="174"/>
      <c r="J33" s="174"/>
      <c r="K33" s="174"/>
      <c r="L33" s="174"/>
      <c r="M33" s="174"/>
      <c r="N33" s="174"/>
      <c r="O33" s="174"/>
      <c r="P33" s="174"/>
      <c r="Q33" s="174"/>
      <c r="R33" s="174"/>
      <c r="S33" s="174"/>
      <c r="T33" s="174"/>
      <c r="U33" s="174"/>
      <c r="V33" s="174"/>
      <c r="W33" s="174"/>
      <c r="X33" s="174"/>
      <c r="Y33" s="174"/>
      <c r="Z33" s="174"/>
      <c r="AA33" s="174"/>
      <c r="AB33" s="174"/>
      <c r="AC33" s="174"/>
      <c r="AD33" s="174"/>
      <c r="AE33" s="174"/>
      <c r="AF33" s="174"/>
      <c r="AG33" s="174"/>
      <c r="AH33" s="174"/>
      <c r="AI33" s="174"/>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5"/>
      <c r="BG33" s="5"/>
      <c r="BH33" s="5"/>
      <c r="BI33" s="43"/>
      <c r="BJ33" s="43"/>
      <c r="BK33" s="43"/>
      <c r="BL33" s="43"/>
      <c r="BM33" s="43"/>
      <c r="BN33" s="43"/>
      <c r="BO33" s="43"/>
      <c r="BP33" s="43"/>
      <c r="BQ33" s="43"/>
      <c r="BR33" s="43"/>
      <c r="BS33" s="43"/>
      <c r="BT33" s="43"/>
      <c r="BU33" s="43"/>
      <c r="BV33" s="5"/>
    </row>
    <row r="34" spans="1:74" ht="15" customHeight="1" thickBot="1" x14ac:dyDescent="0.3">
      <c r="A34" s="5"/>
      <c r="B34" s="176" t="s">
        <v>6</v>
      </c>
      <c r="C34" s="177"/>
      <c r="D34" s="177"/>
      <c r="E34" s="177"/>
      <c r="F34" s="177"/>
      <c r="G34" s="177"/>
      <c r="H34" s="177"/>
      <c r="I34" s="177"/>
      <c r="J34" s="177"/>
      <c r="K34" s="177"/>
      <c r="L34" s="177"/>
      <c r="M34" s="177"/>
      <c r="N34" s="177"/>
      <c r="O34" s="177"/>
      <c r="P34" s="177"/>
      <c r="Q34" s="177"/>
      <c r="R34" s="177"/>
      <c r="S34" s="177"/>
      <c r="T34" s="178"/>
      <c r="U34" s="176" t="s">
        <v>58</v>
      </c>
      <c r="V34" s="177"/>
      <c r="W34" s="177"/>
      <c r="X34" s="177"/>
      <c r="Y34" s="177"/>
      <c r="Z34" s="177"/>
      <c r="AA34" s="178"/>
      <c r="AB34" s="176" t="s">
        <v>59</v>
      </c>
      <c r="AC34" s="177"/>
      <c r="AD34" s="177"/>
      <c r="AE34" s="177"/>
      <c r="AF34" s="177"/>
      <c r="AG34" s="177"/>
      <c r="AH34" s="178"/>
      <c r="AI34" s="176" t="s">
        <v>60</v>
      </c>
      <c r="AJ34" s="177"/>
      <c r="AK34" s="177"/>
      <c r="AL34" s="177"/>
      <c r="AM34" s="177"/>
      <c r="AN34" s="177"/>
      <c r="AO34" s="178"/>
      <c r="AP34" s="176" t="s">
        <v>61</v>
      </c>
      <c r="AQ34" s="177"/>
      <c r="AR34" s="177"/>
      <c r="AS34" s="177"/>
      <c r="AT34" s="177"/>
      <c r="AU34" s="177"/>
      <c r="AV34" s="178"/>
      <c r="AW34" s="179" t="s">
        <v>7</v>
      </c>
      <c r="AX34" s="180"/>
      <c r="AY34" s="180"/>
      <c r="AZ34" s="180"/>
      <c r="BA34" s="180"/>
      <c r="BB34" s="180"/>
      <c r="BC34" s="180"/>
      <c r="BD34" s="180"/>
      <c r="BE34" s="180"/>
      <c r="BF34" s="181"/>
      <c r="BG34" s="5"/>
      <c r="BH34" s="5"/>
      <c r="BI34" s="303" t="s">
        <v>65</v>
      </c>
      <c r="BJ34" s="303"/>
      <c r="BK34" s="303"/>
      <c r="BL34" s="303"/>
      <c r="BM34" s="303"/>
      <c r="BN34" s="303"/>
      <c r="BO34" s="303"/>
      <c r="BP34" s="303"/>
      <c r="BQ34" s="303"/>
      <c r="BR34" s="303"/>
      <c r="BS34" s="303"/>
      <c r="BT34" s="303"/>
      <c r="BU34" s="303"/>
      <c r="BV34" s="5"/>
    </row>
    <row r="35" spans="1:74" ht="15" customHeight="1" x14ac:dyDescent="0.25">
      <c r="A35" s="5"/>
      <c r="B35" s="162" t="s">
        <v>24</v>
      </c>
      <c r="C35" s="163"/>
      <c r="D35" s="163"/>
      <c r="E35" s="163"/>
      <c r="F35" s="163"/>
      <c r="G35" s="163"/>
      <c r="H35" s="163"/>
      <c r="I35" s="163"/>
      <c r="J35" s="163"/>
      <c r="K35" s="163"/>
      <c r="L35" s="163"/>
      <c r="M35" s="163"/>
      <c r="N35" s="163"/>
      <c r="O35" s="163"/>
      <c r="P35" s="163"/>
      <c r="Q35" s="163"/>
      <c r="R35" s="163"/>
      <c r="S35" s="163"/>
      <c r="T35" s="164"/>
      <c r="U35" s="165">
        <f>U12</f>
        <v>0</v>
      </c>
      <c r="V35" s="166"/>
      <c r="W35" s="166"/>
      <c r="X35" s="166"/>
      <c r="Y35" s="166"/>
      <c r="Z35" s="166"/>
      <c r="AA35" s="167"/>
      <c r="AB35" s="168">
        <f>AB12</f>
        <v>0</v>
      </c>
      <c r="AC35" s="169"/>
      <c r="AD35" s="169"/>
      <c r="AE35" s="169"/>
      <c r="AF35" s="169"/>
      <c r="AG35" s="169"/>
      <c r="AH35" s="170"/>
      <c r="AI35" s="168">
        <f>AI12</f>
        <v>0</v>
      </c>
      <c r="AJ35" s="169"/>
      <c r="AK35" s="169"/>
      <c r="AL35" s="169"/>
      <c r="AM35" s="169"/>
      <c r="AN35" s="169"/>
      <c r="AO35" s="170"/>
      <c r="AP35" s="171">
        <f>AP12</f>
        <v>0</v>
      </c>
      <c r="AQ35" s="171"/>
      <c r="AR35" s="171"/>
      <c r="AS35" s="171"/>
      <c r="AT35" s="171"/>
      <c r="AU35" s="171"/>
      <c r="AV35" s="172"/>
      <c r="AW35" s="153">
        <f>U35+AB35+AI35+AP35</f>
        <v>0</v>
      </c>
      <c r="AX35" s="154"/>
      <c r="AY35" s="154"/>
      <c r="AZ35" s="154"/>
      <c r="BA35" s="154"/>
      <c r="BB35" s="154"/>
      <c r="BC35" s="154"/>
      <c r="BD35" s="154"/>
      <c r="BE35" s="154"/>
      <c r="BF35" s="155"/>
      <c r="BG35" s="5"/>
      <c r="BH35" s="5"/>
      <c r="BI35" s="303"/>
      <c r="BJ35" s="303"/>
      <c r="BK35" s="303"/>
      <c r="BL35" s="303"/>
      <c r="BM35" s="303"/>
      <c r="BN35" s="303"/>
      <c r="BO35" s="303"/>
      <c r="BP35" s="303"/>
      <c r="BQ35" s="303"/>
      <c r="BR35" s="303"/>
      <c r="BS35" s="303"/>
      <c r="BT35" s="303"/>
      <c r="BU35" s="303"/>
      <c r="BV35" s="5"/>
    </row>
    <row r="36" spans="1:74" ht="15" customHeight="1" thickBot="1" x14ac:dyDescent="0.3">
      <c r="A36" s="5"/>
      <c r="B36" s="83" t="s">
        <v>25</v>
      </c>
      <c r="C36" s="84"/>
      <c r="D36" s="84"/>
      <c r="E36" s="84"/>
      <c r="F36" s="84"/>
      <c r="G36" s="84"/>
      <c r="H36" s="84"/>
      <c r="I36" s="84"/>
      <c r="J36" s="84"/>
      <c r="K36" s="84"/>
      <c r="L36" s="84"/>
      <c r="M36" s="84"/>
      <c r="N36" s="84"/>
      <c r="O36" s="84"/>
      <c r="P36" s="84"/>
      <c r="Q36" s="84"/>
      <c r="R36" s="84"/>
      <c r="S36" s="84"/>
      <c r="T36" s="85"/>
      <c r="U36" s="156">
        <f>+U35-U38</f>
        <v>0</v>
      </c>
      <c r="V36" s="157"/>
      <c r="W36" s="157"/>
      <c r="X36" s="157"/>
      <c r="Y36" s="157"/>
      <c r="Z36" s="157"/>
      <c r="AA36" s="158"/>
      <c r="AB36" s="159">
        <f>+AB35-AB38</f>
        <v>0</v>
      </c>
      <c r="AC36" s="160"/>
      <c r="AD36" s="160"/>
      <c r="AE36" s="160"/>
      <c r="AF36" s="160"/>
      <c r="AG36" s="160"/>
      <c r="AH36" s="161"/>
      <c r="AI36" s="159">
        <f t="shared" ref="AI36" si="1">+AI35-AI38</f>
        <v>0</v>
      </c>
      <c r="AJ36" s="160"/>
      <c r="AK36" s="160"/>
      <c r="AL36" s="160"/>
      <c r="AM36" s="160"/>
      <c r="AN36" s="160"/>
      <c r="AO36" s="161"/>
      <c r="AP36" s="159">
        <f t="shared" ref="AP36" si="2">+AP35-AP38</f>
        <v>0</v>
      </c>
      <c r="AQ36" s="160"/>
      <c r="AR36" s="160"/>
      <c r="AS36" s="160"/>
      <c r="AT36" s="160"/>
      <c r="AU36" s="160"/>
      <c r="AV36" s="161"/>
      <c r="AW36" s="153">
        <f>U36+AB36+AI36+AP36</f>
        <v>0</v>
      </c>
      <c r="AX36" s="154"/>
      <c r="AY36" s="154"/>
      <c r="AZ36" s="154"/>
      <c r="BA36" s="154"/>
      <c r="BB36" s="154"/>
      <c r="BC36" s="154"/>
      <c r="BD36" s="154"/>
      <c r="BE36" s="154"/>
      <c r="BF36" s="155"/>
      <c r="BG36" s="5"/>
      <c r="BH36" s="5"/>
      <c r="BI36" s="47"/>
      <c r="BJ36" s="47"/>
      <c r="BK36" s="47"/>
      <c r="BL36" s="47"/>
      <c r="BM36" s="47"/>
      <c r="BN36" s="47"/>
      <c r="BO36" s="47"/>
      <c r="BP36" s="47"/>
      <c r="BQ36" s="47"/>
      <c r="BR36" s="47"/>
      <c r="BS36" s="47"/>
      <c r="BT36" s="47"/>
      <c r="BU36" s="47"/>
      <c r="BV36" s="5"/>
    </row>
    <row r="37" spans="1:74" ht="15" customHeight="1" thickBot="1" x14ac:dyDescent="0.3">
      <c r="A37" s="5"/>
      <c r="B37" s="83" t="s">
        <v>26</v>
      </c>
      <c r="C37" s="84"/>
      <c r="D37" s="84"/>
      <c r="E37" s="84"/>
      <c r="F37" s="84"/>
      <c r="G37" s="84"/>
      <c r="H37" s="84"/>
      <c r="I37" s="84"/>
      <c r="J37" s="84"/>
      <c r="K37" s="84"/>
      <c r="L37" s="84"/>
      <c r="M37" s="84"/>
      <c r="N37" s="84"/>
      <c r="O37" s="84"/>
      <c r="P37" s="84"/>
      <c r="Q37" s="84"/>
      <c r="R37" s="84"/>
      <c r="S37" s="84"/>
      <c r="T37" s="85"/>
      <c r="U37" s="150"/>
      <c r="V37" s="151"/>
      <c r="W37" s="151"/>
      <c r="X37" s="151"/>
      <c r="Y37" s="151"/>
      <c r="Z37" s="151"/>
      <c r="AA37" s="152"/>
      <c r="AB37" s="150"/>
      <c r="AC37" s="151"/>
      <c r="AD37" s="151"/>
      <c r="AE37" s="151"/>
      <c r="AF37" s="151"/>
      <c r="AG37" s="151"/>
      <c r="AH37" s="152"/>
      <c r="AI37" s="151"/>
      <c r="AJ37" s="151"/>
      <c r="AK37" s="151"/>
      <c r="AL37" s="151"/>
      <c r="AM37" s="151"/>
      <c r="AN37" s="151"/>
      <c r="AO37" s="152"/>
      <c r="AP37" s="150"/>
      <c r="AQ37" s="151"/>
      <c r="AR37" s="151"/>
      <c r="AS37" s="151"/>
      <c r="AT37" s="151"/>
      <c r="AU37" s="151"/>
      <c r="AV37" s="152"/>
      <c r="AW37" s="153">
        <f>U37+AB37+AI37+AP37</f>
        <v>0</v>
      </c>
      <c r="AX37" s="154"/>
      <c r="AY37" s="154"/>
      <c r="AZ37" s="154"/>
      <c r="BA37" s="154"/>
      <c r="BB37" s="154"/>
      <c r="BC37" s="154"/>
      <c r="BD37" s="154"/>
      <c r="BE37" s="154"/>
      <c r="BF37" s="155"/>
      <c r="BG37" s="5"/>
      <c r="BH37" s="5"/>
      <c r="BI37" s="380" t="s">
        <v>66</v>
      </c>
      <c r="BJ37" s="53"/>
      <c r="BK37" s="380" t="s">
        <v>67</v>
      </c>
      <c r="BL37" s="54"/>
      <c r="BM37" s="382" t="s">
        <v>79</v>
      </c>
      <c r="BN37" s="358"/>
      <c r="BO37" s="51"/>
      <c r="BP37" s="382" t="s">
        <v>68</v>
      </c>
      <c r="BQ37" s="357" t="s">
        <v>70</v>
      </c>
      <c r="BR37" s="357"/>
      <c r="BS37" s="357" t="s">
        <v>71</v>
      </c>
      <c r="BT37" s="357"/>
      <c r="BU37" s="358"/>
      <c r="BV37" s="5"/>
    </row>
    <row r="38" spans="1:74" ht="15" customHeight="1" thickTop="1" thickBot="1" x14ac:dyDescent="0.3">
      <c r="A38" s="5"/>
      <c r="B38" s="83" t="s">
        <v>13</v>
      </c>
      <c r="C38" s="84"/>
      <c r="D38" s="84"/>
      <c r="E38" s="84"/>
      <c r="F38" s="84"/>
      <c r="G38" s="84"/>
      <c r="H38" s="84"/>
      <c r="I38" s="84"/>
      <c r="J38" s="84"/>
      <c r="K38" s="84"/>
      <c r="L38" s="84"/>
      <c r="M38" s="84"/>
      <c r="N38" s="84"/>
      <c r="O38" s="84"/>
      <c r="P38" s="84"/>
      <c r="Q38" s="84"/>
      <c r="R38" s="84"/>
      <c r="S38" s="84"/>
      <c r="T38" s="85"/>
      <c r="U38" s="142">
        <f>U17</f>
        <v>0</v>
      </c>
      <c r="V38" s="143"/>
      <c r="W38" s="143"/>
      <c r="X38" s="143"/>
      <c r="Y38" s="143"/>
      <c r="Z38" s="143"/>
      <c r="AA38" s="144"/>
      <c r="AB38" s="145">
        <f>AB17</f>
        <v>0</v>
      </c>
      <c r="AC38" s="145"/>
      <c r="AD38" s="145"/>
      <c r="AE38" s="145"/>
      <c r="AF38" s="145"/>
      <c r="AG38" s="145"/>
      <c r="AH38" s="146"/>
      <c r="AI38" s="145">
        <f>AI17</f>
        <v>0</v>
      </c>
      <c r="AJ38" s="145"/>
      <c r="AK38" s="145"/>
      <c r="AL38" s="145"/>
      <c r="AM38" s="145"/>
      <c r="AN38" s="145"/>
      <c r="AO38" s="146"/>
      <c r="AP38" s="145">
        <f>AP17</f>
        <v>0</v>
      </c>
      <c r="AQ38" s="145"/>
      <c r="AR38" s="145"/>
      <c r="AS38" s="145"/>
      <c r="AT38" s="145"/>
      <c r="AU38" s="145"/>
      <c r="AV38" s="146"/>
      <c r="AW38" s="147">
        <f>U38+AB38+AI38+AP38</f>
        <v>0</v>
      </c>
      <c r="AX38" s="148"/>
      <c r="AY38" s="148"/>
      <c r="AZ38" s="148"/>
      <c r="BA38" s="148"/>
      <c r="BB38" s="148"/>
      <c r="BC38" s="148"/>
      <c r="BD38" s="148"/>
      <c r="BE38" s="148"/>
      <c r="BF38" s="149"/>
      <c r="BG38" s="5"/>
      <c r="BH38" s="5"/>
      <c r="BI38" s="381"/>
      <c r="BJ38" s="40"/>
      <c r="BK38" s="381"/>
      <c r="BL38" s="40"/>
      <c r="BM38" s="383"/>
      <c r="BN38" s="360"/>
      <c r="BO38" s="40"/>
      <c r="BP38" s="383"/>
      <c r="BQ38" s="359"/>
      <c r="BR38" s="359"/>
      <c r="BS38" s="359"/>
      <c r="BT38" s="359"/>
      <c r="BU38" s="360"/>
      <c r="BV38" s="5"/>
    </row>
    <row r="39" spans="1:74" ht="15" customHeight="1" thickTop="1" thickBot="1" x14ac:dyDescent="0.3">
      <c r="A39" s="5"/>
      <c r="B39" s="134" t="s">
        <v>14</v>
      </c>
      <c r="C39" s="135"/>
      <c r="D39" s="135"/>
      <c r="E39" s="135"/>
      <c r="F39" s="135"/>
      <c r="G39" s="135"/>
      <c r="H39" s="135"/>
      <c r="I39" s="135"/>
      <c r="J39" s="135"/>
      <c r="K39" s="135"/>
      <c r="L39" s="135"/>
      <c r="M39" s="135"/>
      <c r="N39" s="135"/>
      <c r="O39" s="135"/>
      <c r="P39" s="135"/>
      <c r="Q39" s="135"/>
      <c r="R39" s="135"/>
      <c r="S39" s="135"/>
      <c r="T39" s="136"/>
      <c r="U39" s="137"/>
      <c r="V39" s="137"/>
      <c r="W39" s="137"/>
      <c r="X39" s="137"/>
      <c r="Y39" s="137"/>
      <c r="Z39" s="137"/>
      <c r="AA39" s="138"/>
      <c r="AB39" s="139"/>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1"/>
      <c r="BG39" s="5"/>
      <c r="BH39" s="5"/>
      <c r="BI39" s="5"/>
      <c r="BJ39" s="5"/>
      <c r="BK39" s="5"/>
      <c r="BL39" s="5"/>
      <c r="BM39" s="5"/>
      <c r="BN39" s="5"/>
      <c r="BO39" s="5"/>
      <c r="BP39" s="48"/>
      <c r="BQ39" s="48"/>
      <c r="BR39" s="49"/>
      <c r="BS39" s="48"/>
      <c r="BT39" s="48"/>
      <c r="BU39" s="48"/>
      <c r="BV39" s="5"/>
    </row>
    <row r="40" spans="1:74" ht="16.5" customHeight="1" thickBot="1" x14ac:dyDescent="0.3">
      <c r="A40" s="5"/>
      <c r="B40" s="122" t="s">
        <v>81</v>
      </c>
      <c r="C40" s="123"/>
      <c r="D40" s="123"/>
      <c r="E40" s="123"/>
      <c r="F40" s="123"/>
      <c r="G40" s="123"/>
      <c r="H40" s="123"/>
      <c r="I40" s="123"/>
      <c r="J40" s="123"/>
      <c r="K40" s="123"/>
      <c r="L40" s="123"/>
      <c r="M40" s="123"/>
      <c r="N40" s="123"/>
      <c r="O40" s="123"/>
      <c r="P40" s="124"/>
      <c r="Q40" s="128" t="s">
        <v>27</v>
      </c>
      <c r="R40" s="128"/>
      <c r="S40" s="128"/>
      <c r="T40" s="128"/>
      <c r="U40" s="128"/>
      <c r="V40" s="128"/>
      <c r="W40" s="128"/>
      <c r="X40" s="128"/>
      <c r="Y40" s="128"/>
      <c r="Z40" s="128"/>
      <c r="AA40" s="128"/>
      <c r="AB40" s="128"/>
      <c r="AC40" s="128"/>
      <c r="AD40" s="128"/>
      <c r="AE40" s="129" t="s">
        <v>28</v>
      </c>
      <c r="AF40" s="128"/>
      <c r="AG40" s="128"/>
      <c r="AH40" s="128"/>
      <c r="AI40" s="128"/>
      <c r="AJ40" s="128"/>
      <c r="AK40" s="128"/>
      <c r="AL40" s="128"/>
      <c r="AM40" s="128"/>
      <c r="AN40" s="128"/>
      <c r="AO40" s="128"/>
      <c r="AP40" s="128"/>
      <c r="AQ40" s="128"/>
      <c r="AR40" s="130"/>
      <c r="AS40" s="128" t="s">
        <v>7</v>
      </c>
      <c r="AT40" s="128"/>
      <c r="AU40" s="128"/>
      <c r="AV40" s="128"/>
      <c r="AW40" s="128"/>
      <c r="AX40" s="128"/>
      <c r="AY40" s="128"/>
      <c r="AZ40" s="128"/>
      <c r="BA40" s="128"/>
      <c r="BB40" s="128"/>
      <c r="BC40" s="128"/>
      <c r="BD40" s="128"/>
      <c r="BE40" s="128"/>
      <c r="BF40" s="130"/>
      <c r="BG40" s="5"/>
      <c r="BH40" s="5"/>
      <c r="BI40" s="366">
        <v>1</v>
      </c>
      <c r="BJ40" s="50"/>
      <c r="BK40" s="368">
        <f>+U12</f>
        <v>0</v>
      </c>
      <c r="BL40" s="52"/>
      <c r="BM40" s="317">
        <f>+U28*$BU$4</f>
        <v>0</v>
      </c>
      <c r="BN40" s="370"/>
      <c r="BO40" s="49"/>
      <c r="BP40" s="384">
        <f>+BK40-BM40</f>
        <v>0</v>
      </c>
      <c r="BQ40" s="386">
        <f>+U38</f>
        <v>0</v>
      </c>
      <c r="BR40" s="386"/>
      <c r="BS40" s="386">
        <f>+BQ40-BP40</f>
        <v>0</v>
      </c>
      <c r="BT40" s="386"/>
      <c r="BU40" s="322" t="str">
        <f>IF(BS40&gt;0,"SOBRANTE",IF(BS40=0,"SIN DIFERENCIA","FALTANTE"))</f>
        <v>SIN DIFERENCIA</v>
      </c>
      <c r="BV40" s="5"/>
    </row>
    <row r="41" spans="1:74" ht="12.95" customHeight="1" thickBot="1" x14ac:dyDescent="0.3">
      <c r="A41" s="5"/>
      <c r="B41" s="125"/>
      <c r="C41" s="126"/>
      <c r="D41" s="126"/>
      <c r="E41" s="126"/>
      <c r="F41" s="126"/>
      <c r="G41" s="126"/>
      <c r="H41" s="126"/>
      <c r="I41" s="126"/>
      <c r="J41" s="126"/>
      <c r="K41" s="126"/>
      <c r="L41" s="126"/>
      <c r="M41" s="126"/>
      <c r="N41" s="126"/>
      <c r="O41" s="126"/>
      <c r="P41" s="127"/>
      <c r="Q41" s="131" t="s">
        <v>29</v>
      </c>
      <c r="R41" s="131"/>
      <c r="S41" s="131"/>
      <c r="T41" s="132"/>
      <c r="U41" s="133" t="s">
        <v>16</v>
      </c>
      <c r="V41" s="131"/>
      <c r="W41" s="131"/>
      <c r="X41" s="131"/>
      <c r="Y41" s="131"/>
      <c r="Z41" s="131"/>
      <c r="AA41" s="131"/>
      <c r="AB41" s="131"/>
      <c r="AC41" s="131"/>
      <c r="AD41" s="132"/>
      <c r="AE41" s="133" t="s">
        <v>29</v>
      </c>
      <c r="AF41" s="131"/>
      <c r="AG41" s="131"/>
      <c r="AH41" s="132"/>
      <c r="AI41" s="133" t="s">
        <v>16</v>
      </c>
      <c r="AJ41" s="131"/>
      <c r="AK41" s="131"/>
      <c r="AL41" s="131"/>
      <c r="AM41" s="131"/>
      <c r="AN41" s="131"/>
      <c r="AO41" s="131"/>
      <c r="AP41" s="131"/>
      <c r="AQ41" s="131"/>
      <c r="AR41" s="132"/>
      <c r="AS41" s="133" t="s">
        <v>29</v>
      </c>
      <c r="AT41" s="131"/>
      <c r="AU41" s="131"/>
      <c r="AV41" s="132"/>
      <c r="AW41" s="131" t="s">
        <v>16</v>
      </c>
      <c r="AX41" s="131"/>
      <c r="AY41" s="131"/>
      <c r="AZ41" s="131"/>
      <c r="BA41" s="131"/>
      <c r="BB41" s="131"/>
      <c r="BC41" s="131"/>
      <c r="BD41" s="131"/>
      <c r="BE41" s="131"/>
      <c r="BF41" s="132"/>
      <c r="BG41" s="5"/>
      <c r="BH41" s="5"/>
      <c r="BI41" s="367"/>
      <c r="BJ41" s="50"/>
      <c r="BK41" s="369"/>
      <c r="BL41" s="52"/>
      <c r="BM41" s="319"/>
      <c r="BN41" s="350"/>
      <c r="BO41" s="49"/>
      <c r="BP41" s="385"/>
      <c r="BQ41" s="349"/>
      <c r="BR41" s="349"/>
      <c r="BS41" s="349"/>
      <c r="BT41" s="349"/>
      <c r="BU41" s="323"/>
      <c r="BV41" s="5"/>
    </row>
    <row r="42" spans="1:74" ht="15" customHeight="1" thickBot="1" x14ac:dyDescent="0.3">
      <c r="A42" s="5"/>
      <c r="B42" s="116" t="s">
        <v>30</v>
      </c>
      <c r="C42" s="117"/>
      <c r="D42" s="117"/>
      <c r="E42" s="117"/>
      <c r="F42" s="117"/>
      <c r="G42" s="117"/>
      <c r="H42" s="117"/>
      <c r="I42" s="117"/>
      <c r="J42" s="117"/>
      <c r="K42" s="117"/>
      <c r="L42" s="117"/>
      <c r="M42" s="117"/>
      <c r="N42" s="117"/>
      <c r="O42" s="117"/>
      <c r="P42" s="118"/>
      <c r="Q42" s="119"/>
      <c r="R42" s="119"/>
      <c r="S42" s="119"/>
      <c r="T42" s="120"/>
      <c r="U42" s="121"/>
      <c r="V42" s="119"/>
      <c r="W42" s="119"/>
      <c r="X42" s="119"/>
      <c r="Y42" s="119"/>
      <c r="Z42" s="119"/>
      <c r="AA42" s="119"/>
      <c r="AB42" s="119"/>
      <c r="AC42" s="119"/>
      <c r="AD42" s="120"/>
      <c r="AE42" s="121"/>
      <c r="AF42" s="119"/>
      <c r="AG42" s="119"/>
      <c r="AH42" s="120"/>
      <c r="AI42" s="121"/>
      <c r="AJ42" s="119"/>
      <c r="AK42" s="119"/>
      <c r="AL42" s="119"/>
      <c r="AM42" s="119"/>
      <c r="AN42" s="119"/>
      <c r="AO42" s="119"/>
      <c r="AP42" s="119"/>
      <c r="AQ42" s="119"/>
      <c r="AR42" s="120"/>
      <c r="AS42" s="113">
        <f t="shared" ref="AS42:AS48" si="3">Q42+AE42</f>
        <v>0</v>
      </c>
      <c r="AT42" s="114"/>
      <c r="AU42" s="114"/>
      <c r="AV42" s="115"/>
      <c r="AW42" s="113">
        <f>U42+AI42</f>
        <v>0</v>
      </c>
      <c r="AX42" s="114"/>
      <c r="AY42" s="114"/>
      <c r="AZ42" s="114"/>
      <c r="BA42" s="114"/>
      <c r="BB42" s="114"/>
      <c r="BC42" s="114"/>
      <c r="BD42" s="114"/>
      <c r="BE42" s="114"/>
      <c r="BF42" s="115"/>
      <c r="BG42" s="5"/>
      <c r="BH42" s="5"/>
      <c r="BI42" s="367">
        <v>2</v>
      </c>
      <c r="BJ42" s="50"/>
      <c r="BK42" s="369">
        <f>+AB12</f>
        <v>0</v>
      </c>
      <c r="BL42" s="52"/>
      <c r="BM42" s="321">
        <f>+AB28*$BU$5</f>
        <v>0</v>
      </c>
      <c r="BN42" s="350"/>
      <c r="BO42" s="49"/>
      <c r="BP42" s="385">
        <f>+BK42-BM42</f>
        <v>0</v>
      </c>
      <c r="BQ42" s="349">
        <f>+AB38</f>
        <v>0</v>
      </c>
      <c r="BR42" s="349"/>
      <c r="BS42" s="349">
        <f>+BQ42-BP42</f>
        <v>0</v>
      </c>
      <c r="BT42" s="349"/>
      <c r="BU42" s="323" t="str">
        <f>IF(BS42&gt;0,"SOBRANTE",IF(BS42=0,"SIN DIFERENCIA","FALTANTE"))</f>
        <v>SIN DIFERENCIA</v>
      </c>
      <c r="BV42" s="5"/>
    </row>
    <row r="43" spans="1:74" ht="15" customHeight="1" thickBot="1" x14ac:dyDescent="0.3">
      <c r="A43" s="5"/>
      <c r="B43" s="83" t="s">
        <v>31</v>
      </c>
      <c r="C43" s="84"/>
      <c r="D43" s="84"/>
      <c r="E43" s="84"/>
      <c r="F43" s="84"/>
      <c r="G43" s="84"/>
      <c r="H43" s="84"/>
      <c r="I43" s="84"/>
      <c r="J43" s="84"/>
      <c r="K43" s="84"/>
      <c r="L43" s="84"/>
      <c r="M43" s="84"/>
      <c r="N43" s="84"/>
      <c r="O43" s="84"/>
      <c r="P43" s="85"/>
      <c r="Q43" s="86"/>
      <c r="R43" s="86"/>
      <c r="S43" s="86"/>
      <c r="T43" s="87"/>
      <c r="U43" s="92"/>
      <c r="V43" s="86"/>
      <c r="W43" s="86"/>
      <c r="X43" s="86"/>
      <c r="Y43" s="86"/>
      <c r="Z43" s="86"/>
      <c r="AA43" s="86"/>
      <c r="AB43" s="86"/>
      <c r="AC43" s="86"/>
      <c r="AD43" s="87"/>
      <c r="AE43" s="92"/>
      <c r="AF43" s="86"/>
      <c r="AG43" s="86"/>
      <c r="AH43" s="87"/>
      <c r="AI43" s="92"/>
      <c r="AJ43" s="86"/>
      <c r="AK43" s="86"/>
      <c r="AL43" s="86"/>
      <c r="AM43" s="86"/>
      <c r="AN43" s="86"/>
      <c r="AO43" s="86"/>
      <c r="AP43" s="86"/>
      <c r="AQ43" s="86"/>
      <c r="AR43" s="87"/>
      <c r="AS43" s="96">
        <f t="shared" si="3"/>
        <v>0</v>
      </c>
      <c r="AT43" s="97"/>
      <c r="AU43" s="97"/>
      <c r="AV43" s="98"/>
      <c r="AW43" s="113">
        <f t="shared" ref="AW43:AW45" si="4">U43+AI43</f>
        <v>0</v>
      </c>
      <c r="AX43" s="114"/>
      <c r="AY43" s="114"/>
      <c r="AZ43" s="114"/>
      <c r="BA43" s="114"/>
      <c r="BB43" s="114"/>
      <c r="BC43" s="114"/>
      <c r="BD43" s="114"/>
      <c r="BE43" s="114"/>
      <c r="BF43" s="115"/>
      <c r="BG43" s="5"/>
      <c r="BH43" s="5"/>
      <c r="BI43" s="367"/>
      <c r="BJ43" s="50"/>
      <c r="BK43" s="369"/>
      <c r="BL43" s="52"/>
      <c r="BM43" s="319"/>
      <c r="BN43" s="350"/>
      <c r="BO43" s="49"/>
      <c r="BP43" s="385"/>
      <c r="BQ43" s="349"/>
      <c r="BR43" s="349"/>
      <c r="BS43" s="349"/>
      <c r="BT43" s="349"/>
      <c r="BU43" s="323"/>
      <c r="BV43" s="5"/>
    </row>
    <row r="44" spans="1:74" ht="15" customHeight="1" thickBot="1" x14ac:dyDescent="0.3">
      <c r="A44" s="5"/>
      <c r="B44" s="83" t="s">
        <v>32</v>
      </c>
      <c r="C44" s="84"/>
      <c r="D44" s="84"/>
      <c r="E44" s="84"/>
      <c r="F44" s="84"/>
      <c r="G44" s="84"/>
      <c r="H44" s="84"/>
      <c r="I44" s="84"/>
      <c r="J44" s="84"/>
      <c r="K44" s="84"/>
      <c r="L44" s="84"/>
      <c r="M44" s="84"/>
      <c r="N44" s="84"/>
      <c r="O44" s="84"/>
      <c r="P44" s="85"/>
      <c r="Q44" s="86"/>
      <c r="R44" s="86"/>
      <c r="S44" s="86"/>
      <c r="T44" s="87"/>
      <c r="U44" s="92"/>
      <c r="V44" s="86"/>
      <c r="W44" s="86"/>
      <c r="X44" s="86"/>
      <c r="Y44" s="86"/>
      <c r="Z44" s="86"/>
      <c r="AA44" s="86"/>
      <c r="AB44" s="86"/>
      <c r="AC44" s="86"/>
      <c r="AD44" s="87"/>
      <c r="AE44" s="92"/>
      <c r="AF44" s="86"/>
      <c r="AG44" s="86"/>
      <c r="AH44" s="87"/>
      <c r="AI44" s="92"/>
      <c r="AJ44" s="86"/>
      <c r="AK44" s="86"/>
      <c r="AL44" s="86"/>
      <c r="AM44" s="86"/>
      <c r="AN44" s="86"/>
      <c r="AO44" s="86"/>
      <c r="AP44" s="86"/>
      <c r="AQ44" s="86"/>
      <c r="AR44" s="87"/>
      <c r="AS44" s="96">
        <f t="shared" si="3"/>
        <v>0</v>
      </c>
      <c r="AT44" s="97"/>
      <c r="AU44" s="97"/>
      <c r="AV44" s="98"/>
      <c r="AW44" s="113">
        <f t="shared" si="4"/>
        <v>0</v>
      </c>
      <c r="AX44" s="114"/>
      <c r="AY44" s="114"/>
      <c r="AZ44" s="114"/>
      <c r="BA44" s="114"/>
      <c r="BB44" s="114"/>
      <c r="BC44" s="114"/>
      <c r="BD44" s="114"/>
      <c r="BE44" s="114"/>
      <c r="BF44" s="115"/>
      <c r="BG44" s="5"/>
      <c r="BH44" s="5"/>
      <c r="BI44" s="367">
        <v>3</v>
      </c>
      <c r="BJ44" s="50"/>
      <c r="BK44" s="369">
        <f>+AI12</f>
        <v>0</v>
      </c>
      <c r="BL44" s="52"/>
      <c r="BM44" s="321">
        <f>+AI28*$BU$6</f>
        <v>0</v>
      </c>
      <c r="BN44" s="361"/>
      <c r="BO44" s="49"/>
      <c r="BP44" s="385">
        <f>+BK44-BM44</f>
        <v>0</v>
      </c>
      <c r="BQ44" s="349">
        <f>+AI38</f>
        <v>0</v>
      </c>
      <c r="BR44" s="349"/>
      <c r="BS44" s="349">
        <f>+BQ44-BP44</f>
        <v>0</v>
      </c>
      <c r="BT44" s="349"/>
      <c r="BU44" s="323" t="str">
        <f>IF(BS44&gt;0,"SOBRANTE",IF(BS44=0,"SIN DIFERENCIA","FALTANTE"))</f>
        <v>SIN DIFERENCIA</v>
      </c>
      <c r="BV44" s="5"/>
    </row>
    <row r="45" spans="1:74" ht="15" customHeight="1" x14ac:dyDescent="0.25">
      <c r="A45" s="5"/>
      <c r="B45" s="83" t="s">
        <v>33</v>
      </c>
      <c r="C45" s="84"/>
      <c r="D45" s="84"/>
      <c r="E45" s="84"/>
      <c r="F45" s="84"/>
      <c r="G45" s="84"/>
      <c r="H45" s="84"/>
      <c r="I45" s="84"/>
      <c r="J45" s="84"/>
      <c r="K45" s="84"/>
      <c r="L45" s="84"/>
      <c r="M45" s="84"/>
      <c r="N45" s="84"/>
      <c r="O45" s="84"/>
      <c r="P45" s="85"/>
      <c r="Q45" s="86"/>
      <c r="R45" s="86"/>
      <c r="S45" s="86"/>
      <c r="T45" s="87"/>
      <c r="U45" s="92"/>
      <c r="V45" s="86"/>
      <c r="W45" s="86"/>
      <c r="X45" s="86"/>
      <c r="Y45" s="86"/>
      <c r="Z45" s="86"/>
      <c r="AA45" s="86"/>
      <c r="AB45" s="86"/>
      <c r="AC45" s="86"/>
      <c r="AD45" s="87"/>
      <c r="AE45" s="92"/>
      <c r="AF45" s="86"/>
      <c r="AG45" s="86"/>
      <c r="AH45" s="87"/>
      <c r="AI45" s="92"/>
      <c r="AJ45" s="86"/>
      <c r="AK45" s="86"/>
      <c r="AL45" s="86"/>
      <c r="AM45" s="86"/>
      <c r="AN45" s="86"/>
      <c r="AO45" s="86"/>
      <c r="AP45" s="86"/>
      <c r="AQ45" s="86"/>
      <c r="AR45" s="87"/>
      <c r="AS45" s="96">
        <f t="shared" si="3"/>
        <v>0</v>
      </c>
      <c r="AT45" s="97"/>
      <c r="AU45" s="97"/>
      <c r="AV45" s="98"/>
      <c r="AW45" s="113">
        <f t="shared" si="4"/>
        <v>0</v>
      </c>
      <c r="AX45" s="114"/>
      <c r="AY45" s="114"/>
      <c r="AZ45" s="114"/>
      <c r="BA45" s="114"/>
      <c r="BB45" s="114"/>
      <c r="BC45" s="114"/>
      <c r="BD45" s="114"/>
      <c r="BE45" s="114"/>
      <c r="BF45" s="115"/>
      <c r="BG45" s="5"/>
      <c r="BH45" s="5"/>
      <c r="BI45" s="367"/>
      <c r="BJ45" s="50"/>
      <c r="BK45" s="369"/>
      <c r="BL45" s="52"/>
      <c r="BM45" s="321"/>
      <c r="BN45" s="361"/>
      <c r="BO45" s="49"/>
      <c r="BP45" s="385"/>
      <c r="BQ45" s="349"/>
      <c r="BR45" s="349"/>
      <c r="BS45" s="349"/>
      <c r="BT45" s="349"/>
      <c r="BU45" s="323"/>
      <c r="BV45" s="5"/>
    </row>
    <row r="46" spans="1:74" ht="15" customHeight="1" x14ac:dyDescent="0.25">
      <c r="A46" s="5"/>
      <c r="B46" s="83" t="s">
        <v>34</v>
      </c>
      <c r="C46" s="84"/>
      <c r="D46" s="84"/>
      <c r="E46" s="84"/>
      <c r="F46" s="84"/>
      <c r="G46" s="84"/>
      <c r="H46" s="84"/>
      <c r="I46" s="84"/>
      <c r="J46" s="84"/>
      <c r="K46" s="84"/>
      <c r="L46" s="84"/>
      <c r="M46" s="84"/>
      <c r="N46" s="84"/>
      <c r="O46" s="84"/>
      <c r="P46" s="85"/>
      <c r="Q46" s="86"/>
      <c r="R46" s="86"/>
      <c r="S46" s="86"/>
      <c r="T46" s="87"/>
      <c r="U46" s="88"/>
      <c r="V46" s="89"/>
      <c r="W46" s="89"/>
      <c r="X46" s="89"/>
      <c r="Y46" s="89"/>
      <c r="Z46" s="89"/>
      <c r="AA46" s="89"/>
      <c r="AB46" s="89"/>
      <c r="AC46" s="89"/>
      <c r="AD46" s="90"/>
      <c r="AE46" s="92"/>
      <c r="AF46" s="86"/>
      <c r="AG46" s="86"/>
      <c r="AH46" s="87"/>
      <c r="AI46" s="88"/>
      <c r="AJ46" s="89"/>
      <c r="AK46" s="89"/>
      <c r="AL46" s="89"/>
      <c r="AM46" s="89"/>
      <c r="AN46" s="89"/>
      <c r="AO46" s="89"/>
      <c r="AP46" s="89"/>
      <c r="AQ46" s="89"/>
      <c r="AR46" s="90"/>
      <c r="AS46" s="96">
        <f t="shared" si="3"/>
        <v>0</v>
      </c>
      <c r="AT46" s="97"/>
      <c r="AU46" s="97"/>
      <c r="AV46" s="98"/>
      <c r="AW46" s="88"/>
      <c r="AX46" s="89"/>
      <c r="AY46" s="89"/>
      <c r="AZ46" s="89"/>
      <c r="BA46" s="89"/>
      <c r="BB46" s="89"/>
      <c r="BC46" s="89"/>
      <c r="BD46" s="89"/>
      <c r="BE46" s="89"/>
      <c r="BF46" s="90"/>
      <c r="BG46" s="5"/>
      <c r="BH46" s="5"/>
      <c r="BI46" s="367">
        <v>4</v>
      </c>
      <c r="BJ46" s="50"/>
      <c r="BK46" s="369">
        <f>+AP12</f>
        <v>0</v>
      </c>
      <c r="BL46" s="52"/>
      <c r="BM46" s="321">
        <f>+AP28*$BU$7</f>
        <v>0</v>
      </c>
      <c r="BN46" s="361"/>
      <c r="BO46" s="49"/>
      <c r="BP46" s="385">
        <f>+BK46-BM46</f>
        <v>0</v>
      </c>
      <c r="BQ46" s="349">
        <f>+AP38</f>
        <v>0</v>
      </c>
      <c r="BR46" s="349"/>
      <c r="BS46" s="349">
        <f>+BQ46-BP46</f>
        <v>0</v>
      </c>
      <c r="BT46" s="349"/>
      <c r="BU46" s="323" t="str">
        <f>IF(BS46&gt;0,"SOBRANTE",IF(BS46=0,"SIN DIFERENCIA","FALTANTE"))</f>
        <v>SIN DIFERENCIA</v>
      </c>
      <c r="BV46" s="5"/>
    </row>
    <row r="47" spans="1:74" ht="15" customHeight="1" x14ac:dyDescent="0.25">
      <c r="A47" s="5"/>
      <c r="B47" s="83" t="s">
        <v>35</v>
      </c>
      <c r="C47" s="84"/>
      <c r="D47" s="84"/>
      <c r="E47" s="84"/>
      <c r="F47" s="84"/>
      <c r="G47" s="84"/>
      <c r="H47" s="84"/>
      <c r="I47" s="84"/>
      <c r="J47" s="84"/>
      <c r="K47" s="84"/>
      <c r="L47" s="84"/>
      <c r="M47" s="84"/>
      <c r="N47" s="84"/>
      <c r="O47" s="84"/>
      <c r="P47" s="85"/>
      <c r="Q47" s="86"/>
      <c r="R47" s="86"/>
      <c r="S47" s="86"/>
      <c r="T47" s="87"/>
      <c r="U47" s="88"/>
      <c r="V47" s="89"/>
      <c r="W47" s="89"/>
      <c r="X47" s="89"/>
      <c r="Y47" s="89"/>
      <c r="Z47" s="89"/>
      <c r="AA47" s="89"/>
      <c r="AB47" s="89"/>
      <c r="AC47" s="89"/>
      <c r="AD47" s="90"/>
      <c r="AE47" s="92"/>
      <c r="AF47" s="86"/>
      <c r="AG47" s="86"/>
      <c r="AH47" s="87"/>
      <c r="AI47" s="88"/>
      <c r="AJ47" s="89"/>
      <c r="AK47" s="89"/>
      <c r="AL47" s="89"/>
      <c r="AM47" s="89"/>
      <c r="AN47" s="89"/>
      <c r="AO47" s="89"/>
      <c r="AP47" s="89"/>
      <c r="AQ47" s="89"/>
      <c r="AR47" s="90"/>
      <c r="AS47" s="96">
        <f t="shared" si="3"/>
        <v>0</v>
      </c>
      <c r="AT47" s="97"/>
      <c r="AU47" s="97"/>
      <c r="AV47" s="98"/>
      <c r="AW47" s="88"/>
      <c r="AX47" s="89"/>
      <c r="AY47" s="89"/>
      <c r="AZ47" s="89"/>
      <c r="BA47" s="89"/>
      <c r="BB47" s="89"/>
      <c r="BC47" s="89"/>
      <c r="BD47" s="89"/>
      <c r="BE47" s="89"/>
      <c r="BF47" s="90"/>
      <c r="BG47" s="5"/>
      <c r="BH47" s="5"/>
      <c r="BI47" s="367"/>
      <c r="BJ47" s="50"/>
      <c r="BK47" s="369"/>
      <c r="BL47" s="52"/>
      <c r="BM47" s="321"/>
      <c r="BN47" s="361"/>
      <c r="BO47" s="49"/>
      <c r="BP47" s="385"/>
      <c r="BQ47" s="349"/>
      <c r="BR47" s="349"/>
      <c r="BS47" s="349"/>
      <c r="BT47" s="349"/>
      <c r="BU47" s="323"/>
      <c r="BV47" s="5"/>
    </row>
    <row r="48" spans="1:74" ht="15" customHeight="1" thickBot="1" x14ac:dyDescent="0.3">
      <c r="A48" s="5"/>
      <c r="B48" s="83" t="s">
        <v>36</v>
      </c>
      <c r="C48" s="84"/>
      <c r="D48" s="84"/>
      <c r="E48" s="84"/>
      <c r="F48" s="84"/>
      <c r="G48" s="84"/>
      <c r="H48" s="84"/>
      <c r="I48" s="84"/>
      <c r="J48" s="84"/>
      <c r="K48" s="84"/>
      <c r="L48" s="84"/>
      <c r="M48" s="84"/>
      <c r="N48" s="84"/>
      <c r="O48" s="84"/>
      <c r="P48" s="85"/>
      <c r="Q48" s="86"/>
      <c r="R48" s="86"/>
      <c r="S48" s="86"/>
      <c r="T48" s="87"/>
      <c r="U48" s="88"/>
      <c r="V48" s="89"/>
      <c r="W48" s="89"/>
      <c r="X48" s="89"/>
      <c r="Y48" s="89"/>
      <c r="Z48" s="89"/>
      <c r="AA48" s="89"/>
      <c r="AB48" s="89"/>
      <c r="AC48" s="89"/>
      <c r="AD48" s="90"/>
      <c r="AE48" s="92"/>
      <c r="AF48" s="86"/>
      <c r="AG48" s="86"/>
      <c r="AH48" s="87"/>
      <c r="AI48" s="88"/>
      <c r="AJ48" s="89"/>
      <c r="AK48" s="89"/>
      <c r="AL48" s="89"/>
      <c r="AM48" s="89"/>
      <c r="AN48" s="89"/>
      <c r="AO48" s="89"/>
      <c r="AP48" s="89"/>
      <c r="AQ48" s="89"/>
      <c r="AR48" s="90"/>
      <c r="AS48" s="93">
        <f t="shared" si="3"/>
        <v>0</v>
      </c>
      <c r="AT48" s="94"/>
      <c r="AU48" s="94"/>
      <c r="AV48" s="95"/>
      <c r="AW48" s="109"/>
      <c r="AX48" s="110"/>
      <c r="AY48" s="110"/>
      <c r="AZ48" s="110"/>
      <c r="BA48" s="110"/>
      <c r="BB48" s="110"/>
      <c r="BC48" s="110"/>
      <c r="BD48" s="110"/>
      <c r="BE48" s="110"/>
      <c r="BF48" s="111"/>
      <c r="BG48" s="5"/>
      <c r="BH48" s="5"/>
      <c r="BI48" s="387" t="s">
        <v>22</v>
      </c>
      <c r="BJ48" s="55"/>
      <c r="BK48" s="362">
        <f>+BK40+BK42+BK44+BK46</f>
        <v>0</v>
      </c>
      <c r="BL48" s="56"/>
      <c r="BM48" s="353">
        <f>+BM46+BM44+BM42+BM40</f>
        <v>0</v>
      </c>
      <c r="BN48" s="354"/>
      <c r="BO48" s="49"/>
      <c r="BP48" s="364">
        <f t="shared" ref="BP48" si="5">+BK48-BM48</f>
        <v>0</v>
      </c>
      <c r="BQ48" s="351">
        <f>+BQ46+BQ44+BQ42+BQ40</f>
        <v>0</v>
      </c>
      <c r="BR48" s="351"/>
      <c r="BS48" s="351">
        <f>+BS46+BS44+BS42+BS40</f>
        <v>0</v>
      </c>
      <c r="BT48" s="351"/>
      <c r="BU48" s="354" t="str">
        <f>IF(BS48&gt;0,"SOBRANTE",IF(BS48=0,"SIN DIFERENCIA","FALTANTE"))</f>
        <v>SIN DIFERENCIA</v>
      </c>
      <c r="BV48" s="5"/>
    </row>
    <row r="49" spans="1:74" ht="15" customHeight="1" thickTop="1" thickBot="1" x14ac:dyDescent="0.3">
      <c r="A49" s="5"/>
      <c r="B49" s="73" t="s">
        <v>37</v>
      </c>
      <c r="C49" s="74"/>
      <c r="D49" s="74"/>
      <c r="E49" s="74"/>
      <c r="F49" s="74"/>
      <c r="G49" s="74"/>
      <c r="H49" s="74"/>
      <c r="I49" s="74"/>
      <c r="J49" s="74"/>
      <c r="K49" s="74"/>
      <c r="L49" s="74"/>
      <c r="M49" s="74"/>
      <c r="N49" s="74"/>
      <c r="O49" s="74"/>
      <c r="P49" s="75"/>
      <c r="Q49" s="76">
        <f>Q42+Q43+Q44+Q45+Q46+Q47+Q48</f>
        <v>0</v>
      </c>
      <c r="R49" s="76"/>
      <c r="S49" s="76"/>
      <c r="T49" s="77"/>
      <c r="U49" s="78">
        <f>U42+U43+U44+U45</f>
        <v>0</v>
      </c>
      <c r="V49" s="76"/>
      <c r="W49" s="76"/>
      <c r="X49" s="76"/>
      <c r="Y49" s="76"/>
      <c r="Z49" s="76"/>
      <c r="AA49" s="76"/>
      <c r="AB49" s="76"/>
      <c r="AC49" s="76"/>
      <c r="AD49" s="77"/>
      <c r="AE49" s="78">
        <f>AE42+AE43+AE44+AE45+AE46+AE47+AE48</f>
        <v>0</v>
      </c>
      <c r="AF49" s="76"/>
      <c r="AG49" s="76"/>
      <c r="AH49" s="77"/>
      <c r="AI49" s="78">
        <f>AI42+AI43+AI44+AI45</f>
        <v>0</v>
      </c>
      <c r="AJ49" s="76"/>
      <c r="AK49" s="76"/>
      <c r="AL49" s="76"/>
      <c r="AM49" s="76"/>
      <c r="AN49" s="76"/>
      <c r="AO49" s="76"/>
      <c r="AP49" s="76"/>
      <c r="AQ49" s="76"/>
      <c r="AR49" s="79"/>
      <c r="AS49" s="80">
        <f>AS42+AS43+AS44+AS45+AS46+AS47+AS48</f>
        <v>0</v>
      </c>
      <c r="AT49" s="81"/>
      <c r="AU49" s="81"/>
      <c r="AV49" s="81"/>
      <c r="AW49" s="80">
        <f>AW42+AW43+AW44+AW45</f>
        <v>0</v>
      </c>
      <c r="AX49" s="81"/>
      <c r="AY49" s="81"/>
      <c r="AZ49" s="81"/>
      <c r="BA49" s="81"/>
      <c r="BB49" s="81"/>
      <c r="BC49" s="81"/>
      <c r="BD49" s="81"/>
      <c r="BE49" s="81"/>
      <c r="BF49" s="82"/>
      <c r="BG49" s="5"/>
      <c r="BH49" s="5"/>
      <c r="BI49" s="388"/>
      <c r="BJ49" s="55"/>
      <c r="BK49" s="363"/>
      <c r="BL49" s="56"/>
      <c r="BM49" s="355"/>
      <c r="BN49" s="356"/>
      <c r="BO49" s="47"/>
      <c r="BP49" s="365"/>
      <c r="BQ49" s="352"/>
      <c r="BR49" s="352"/>
      <c r="BS49" s="352"/>
      <c r="BT49" s="352"/>
      <c r="BU49" s="356"/>
      <c r="BV49" s="5"/>
    </row>
    <row r="50" spans="1:74" ht="6.95" customHeight="1" x14ac:dyDescent="0.25">
      <c r="A50" s="5"/>
      <c r="B50" s="6"/>
      <c r="C50" s="7"/>
      <c r="D50" s="7"/>
      <c r="E50" s="7"/>
      <c r="F50" s="7"/>
      <c r="G50" s="7"/>
      <c r="H50" s="7"/>
      <c r="I50" s="7"/>
      <c r="J50" s="7"/>
      <c r="K50" s="7"/>
      <c r="L50" s="7"/>
      <c r="M50" s="7"/>
      <c r="N50" s="7"/>
      <c r="O50" s="7"/>
      <c r="P50" s="7"/>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5"/>
      <c r="BG50" s="5"/>
      <c r="BH50" s="5"/>
      <c r="BI50" s="37"/>
      <c r="BJ50" s="37"/>
      <c r="BK50" s="37"/>
      <c r="BL50" s="37"/>
      <c r="BM50" s="37"/>
      <c r="BN50" s="37"/>
      <c r="BO50" s="37"/>
      <c r="BP50" s="37"/>
      <c r="BQ50" s="37"/>
      <c r="BR50" s="37"/>
      <c r="BS50" s="37"/>
      <c r="BT50" s="37"/>
      <c r="BU50" s="37"/>
      <c r="BV50" s="5"/>
    </row>
    <row r="51" spans="1:74" ht="15" customHeight="1" x14ac:dyDescent="0.25">
      <c r="A51" s="5"/>
      <c r="B51" s="16" t="s">
        <v>38</v>
      </c>
      <c r="C51" s="17"/>
      <c r="D51" s="17"/>
      <c r="E51" s="17"/>
      <c r="F51" s="17"/>
      <c r="G51" s="17"/>
      <c r="H51" s="17"/>
      <c r="I51" s="17"/>
      <c r="J51" s="17"/>
      <c r="K51" s="17"/>
      <c r="L51" s="17"/>
      <c r="M51" s="17"/>
      <c r="N51" s="17"/>
      <c r="O51" s="17"/>
      <c r="P51" s="17"/>
      <c r="Q51" s="17"/>
      <c r="R51" s="17"/>
      <c r="S51" s="17"/>
      <c r="T51" s="100">
        <f>AW38-AW17</f>
        <v>0</v>
      </c>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7"/>
      <c r="BF51" s="8"/>
      <c r="BG51" s="5"/>
      <c r="BH51" s="5"/>
      <c r="BI51" s="41" t="s">
        <v>69</v>
      </c>
      <c r="BJ51" s="41"/>
      <c r="BK51" s="41"/>
      <c r="BL51" s="41"/>
      <c r="BM51" s="41"/>
      <c r="BN51" s="41"/>
      <c r="BO51" s="41"/>
      <c r="BP51" s="41"/>
      <c r="BQ51" s="41"/>
      <c r="BR51" s="41"/>
      <c r="BS51" s="41"/>
      <c r="BT51" s="41"/>
      <c r="BU51" s="41"/>
      <c r="BV51" s="5"/>
    </row>
    <row r="52" spans="1:74" ht="15" customHeight="1" x14ac:dyDescent="0.25">
      <c r="A52" s="5"/>
      <c r="B52" s="6" t="s">
        <v>39</v>
      </c>
      <c r="C52" s="7"/>
      <c r="D52" s="7"/>
      <c r="E52" s="7"/>
      <c r="F52" s="102" t="str">
        <f>BU13</f>
        <v>SIN DIFERENCIA</v>
      </c>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02"/>
      <c r="AO52" s="102"/>
      <c r="AP52" s="102"/>
      <c r="AQ52" s="102"/>
      <c r="AR52" s="102"/>
      <c r="AS52" s="102"/>
      <c r="AT52" s="102"/>
      <c r="AU52" s="102"/>
      <c r="AV52" s="102"/>
      <c r="AW52" s="102"/>
      <c r="AX52" s="102"/>
      <c r="AY52" s="102"/>
      <c r="AZ52" s="102"/>
      <c r="BA52" s="102"/>
      <c r="BB52" s="102"/>
      <c r="BC52" s="102"/>
      <c r="BD52" s="102"/>
      <c r="BE52" s="102"/>
      <c r="BF52" s="103"/>
      <c r="BG52" s="5"/>
      <c r="BH52" s="5"/>
      <c r="BI52" s="5"/>
      <c r="BJ52" s="5"/>
      <c r="BK52" s="5"/>
      <c r="BL52" s="5"/>
      <c r="BM52" s="5"/>
      <c r="BN52" s="5"/>
      <c r="BO52" s="5"/>
      <c r="BP52" s="5"/>
      <c r="BQ52" s="5"/>
      <c r="BR52" s="5"/>
      <c r="BS52" s="5"/>
      <c r="BT52" s="5"/>
      <c r="BU52" s="5"/>
      <c r="BV52" s="5"/>
    </row>
    <row r="53" spans="1:74" ht="6" customHeight="1" x14ac:dyDescent="0.25">
      <c r="A53" s="5"/>
      <c r="B53" s="6"/>
      <c r="C53" s="7"/>
      <c r="D53" s="7"/>
      <c r="E53" s="7"/>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9"/>
      <c r="BG53" s="5"/>
      <c r="BH53" s="5"/>
      <c r="BI53" s="373" t="s">
        <v>74</v>
      </c>
      <c r="BJ53" s="373"/>
      <c r="BK53" s="373"/>
      <c r="BL53" s="373"/>
      <c r="BM53" s="373"/>
      <c r="BN53" s="373"/>
      <c r="BO53" s="373"/>
      <c r="BP53" s="373"/>
      <c r="BQ53" s="373"/>
      <c r="BR53" s="373"/>
      <c r="BS53" s="373"/>
      <c r="BT53" s="373"/>
      <c r="BU53" s="373"/>
      <c r="BV53" s="5"/>
    </row>
    <row r="54" spans="1:74" ht="15" customHeight="1" x14ac:dyDescent="0.25">
      <c r="A54" s="5"/>
      <c r="B54" s="104" t="s">
        <v>40</v>
      </c>
      <c r="C54" s="105"/>
      <c r="D54" s="105"/>
      <c r="E54" s="105"/>
      <c r="F54" s="105"/>
      <c r="G54" s="105"/>
      <c r="H54" s="105"/>
      <c r="I54" s="105"/>
      <c r="J54" s="105"/>
      <c r="K54" s="105"/>
      <c r="L54" s="105"/>
      <c r="M54" s="105"/>
      <c r="N54" s="105"/>
      <c r="O54" s="105"/>
      <c r="P54" s="105"/>
      <c r="Q54" s="105"/>
      <c r="R54" s="105"/>
      <c r="S54" s="106"/>
      <c r="T54" s="106"/>
      <c r="U54" s="112"/>
      <c r="V54" s="112"/>
      <c r="W54" s="112"/>
      <c r="X54" s="20"/>
      <c r="Y54" s="20"/>
      <c r="Z54" s="7"/>
      <c r="AA54" s="21" t="s">
        <v>41</v>
      </c>
      <c r="AB54" s="22"/>
      <c r="AC54" s="23"/>
      <c r="AD54" s="23"/>
      <c r="AE54" s="23"/>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24"/>
      <c r="BG54" s="5"/>
      <c r="BH54" s="5"/>
      <c r="BI54" s="373"/>
      <c r="BJ54" s="373"/>
      <c r="BK54" s="373"/>
      <c r="BL54" s="373"/>
      <c r="BM54" s="373"/>
      <c r="BN54" s="373"/>
      <c r="BO54" s="373"/>
      <c r="BP54" s="373"/>
      <c r="BQ54" s="373"/>
      <c r="BR54" s="373"/>
      <c r="BS54" s="373"/>
      <c r="BT54" s="373"/>
      <c r="BU54" s="373"/>
      <c r="BV54" s="5"/>
    </row>
    <row r="55" spans="1:74" ht="5.45" customHeight="1" x14ac:dyDescent="0.25">
      <c r="A55" s="5"/>
      <c r="B55" s="6"/>
      <c r="C55" s="17"/>
      <c r="D55" s="7"/>
      <c r="E55" s="7"/>
      <c r="F55" s="7"/>
      <c r="G55" s="7"/>
      <c r="H55" s="7"/>
      <c r="I55" s="7"/>
      <c r="J55" s="7"/>
      <c r="K55" s="7"/>
      <c r="L55" s="7"/>
      <c r="M55" s="7"/>
      <c r="N55" s="7"/>
      <c r="O55" s="7"/>
      <c r="P55" s="7"/>
      <c r="Q55" s="7"/>
      <c r="R55" s="7"/>
      <c r="S55" s="25"/>
      <c r="T55" s="25"/>
      <c r="U55" s="61"/>
      <c r="V55" s="25"/>
      <c r="W55" s="25"/>
      <c r="X55" s="20"/>
      <c r="Y55" s="20"/>
      <c r="Z55" s="7"/>
      <c r="AA55" s="26"/>
      <c r="AB55" s="7"/>
      <c r="AC55" s="17"/>
      <c r="AD55" s="17"/>
      <c r="AE55" s="17"/>
      <c r="AF55" s="91"/>
      <c r="AG55" s="91"/>
      <c r="AH55" s="91"/>
      <c r="AI55" s="91"/>
      <c r="AJ55" s="91"/>
      <c r="AK55" s="91"/>
      <c r="AL55" s="91"/>
      <c r="AM55" s="91"/>
      <c r="AN55" s="91"/>
      <c r="AO55" s="91"/>
      <c r="AP55" s="91"/>
      <c r="AQ55" s="91"/>
      <c r="AR55" s="91"/>
      <c r="AS55" s="91"/>
      <c r="AT55" s="91"/>
      <c r="AU55" s="91"/>
      <c r="AV55" s="91"/>
      <c r="AW55" s="91"/>
      <c r="AX55" s="91"/>
      <c r="AY55" s="91"/>
      <c r="AZ55" s="91"/>
      <c r="BA55" s="91"/>
      <c r="BB55" s="91"/>
      <c r="BC55" s="91"/>
      <c r="BD55" s="91"/>
      <c r="BE55" s="91"/>
      <c r="BF55" s="27"/>
      <c r="BG55" s="5"/>
      <c r="BH55" s="5"/>
      <c r="BI55" s="5"/>
      <c r="BJ55" s="57"/>
      <c r="BK55" s="5"/>
      <c r="BL55" s="5"/>
      <c r="BM55" s="5"/>
      <c r="BN55" s="5"/>
      <c r="BO55" s="5"/>
      <c r="BP55" s="5"/>
      <c r="BQ55" s="5"/>
      <c r="BR55" s="5"/>
      <c r="BS55" s="5"/>
      <c r="BT55" s="5"/>
      <c r="BU55" s="5"/>
      <c r="BV55" s="5"/>
    </row>
    <row r="56" spans="1:74" ht="15" customHeight="1" x14ac:dyDescent="0.25">
      <c r="A56" s="5"/>
      <c r="B56" s="104" t="s">
        <v>42</v>
      </c>
      <c r="C56" s="105"/>
      <c r="D56" s="105"/>
      <c r="E56" s="105"/>
      <c r="F56" s="105"/>
      <c r="G56" s="105"/>
      <c r="H56" s="105"/>
      <c r="I56" s="105"/>
      <c r="J56" s="105"/>
      <c r="K56" s="105"/>
      <c r="L56" s="105"/>
      <c r="M56" s="105"/>
      <c r="N56" s="105"/>
      <c r="O56" s="105"/>
      <c r="P56" s="105"/>
      <c r="Q56" s="7"/>
      <c r="R56" s="7"/>
      <c r="S56" s="106"/>
      <c r="T56" s="106"/>
      <c r="U56" s="112"/>
      <c r="V56" s="112"/>
      <c r="W56" s="112"/>
      <c r="X56" s="20"/>
      <c r="Y56" s="20"/>
      <c r="Z56" s="17"/>
      <c r="AA56" s="28"/>
      <c r="AB56" s="29"/>
      <c r="AC56" s="29"/>
      <c r="AD56" s="29"/>
      <c r="AE56" s="29"/>
      <c r="AF56" s="108"/>
      <c r="AG56" s="108"/>
      <c r="AH56" s="108"/>
      <c r="AI56" s="108"/>
      <c r="AJ56" s="108"/>
      <c r="AK56" s="108"/>
      <c r="AL56" s="108"/>
      <c r="AM56" s="108"/>
      <c r="AN56" s="108"/>
      <c r="AO56" s="108"/>
      <c r="AP56" s="108"/>
      <c r="AQ56" s="108"/>
      <c r="AR56" s="108"/>
      <c r="AS56" s="108"/>
      <c r="AT56" s="108"/>
      <c r="AU56" s="108"/>
      <c r="AV56" s="108"/>
      <c r="AW56" s="108"/>
      <c r="AX56" s="108"/>
      <c r="AY56" s="108"/>
      <c r="AZ56" s="108"/>
      <c r="BA56" s="108"/>
      <c r="BB56" s="108"/>
      <c r="BC56" s="108"/>
      <c r="BD56" s="108"/>
      <c r="BE56" s="108"/>
      <c r="BF56" s="30"/>
      <c r="BG56" s="5"/>
      <c r="BH56" s="5"/>
      <c r="BI56" s="374" t="s">
        <v>72</v>
      </c>
      <c r="BJ56" s="375"/>
      <c r="BK56" s="375"/>
      <c r="BL56" s="375"/>
      <c r="BM56" s="375"/>
      <c r="BN56" s="376"/>
      <c r="BO56" s="58" t="s">
        <v>76</v>
      </c>
      <c r="BP56" s="377">
        <f>+AW16</f>
        <v>0</v>
      </c>
      <c r="BQ56" s="378"/>
      <c r="BR56" s="5"/>
      <c r="BS56" s="5"/>
      <c r="BT56" s="5"/>
      <c r="BU56" s="5"/>
      <c r="BV56" s="5"/>
    </row>
    <row r="57" spans="1:74" ht="18" customHeight="1" x14ac:dyDescent="0.25">
      <c r="A57" s="5"/>
      <c r="B57" s="6" t="s">
        <v>43</v>
      </c>
      <c r="C57" s="7"/>
      <c r="D57" s="7"/>
      <c r="E57" s="7"/>
      <c r="F57" s="7"/>
      <c r="G57" s="7"/>
      <c r="H57" s="7"/>
      <c r="I57" s="7"/>
      <c r="J57" s="7"/>
      <c r="K57" s="91"/>
      <c r="L57" s="91"/>
      <c r="M57" s="91"/>
      <c r="N57" s="91"/>
      <c r="O57" s="91"/>
      <c r="P57" s="91"/>
      <c r="Q57" s="91"/>
      <c r="R57" s="91"/>
      <c r="S57" s="91"/>
      <c r="T57" s="91"/>
      <c r="U57" s="91"/>
      <c r="V57" s="91"/>
      <c r="W57" s="91"/>
      <c r="X57" s="91"/>
      <c r="Y57" s="91"/>
      <c r="Z57" s="91"/>
      <c r="AA57" s="91"/>
      <c r="AB57" s="91"/>
      <c r="AC57" s="91"/>
      <c r="AD57" s="91"/>
      <c r="AE57" s="91"/>
      <c r="AF57" s="91"/>
      <c r="AG57" s="91"/>
      <c r="AH57" s="91"/>
      <c r="AI57" s="91"/>
      <c r="AJ57" s="91"/>
      <c r="AK57" s="91"/>
      <c r="AL57" s="91"/>
      <c r="AM57" s="91"/>
      <c r="AN57" s="91"/>
      <c r="AO57" s="91"/>
      <c r="AP57" s="91"/>
      <c r="AQ57" s="91"/>
      <c r="AR57" s="91"/>
      <c r="AS57" s="91"/>
      <c r="AT57" s="91"/>
      <c r="AU57" s="91"/>
      <c r="AV57" s="91"/>
      <c r="AW57" s="91"/>
      <c r="AX57" s="91"/>
      <c r="AY57" s="91"/>
      <c r="AZ57" s="91"/>
      <c r="BA57" s="91"/>
      <c r="BB57" s="91"/>
      <c r="BC57" s="91"/>
      <c r="BD57" s="91"/>
      <c r="BE57" s="91"/>
      <c r="BF57" s="8"/>
      <c r="BG57" s="5"/>
      <c r="BH57" s="5"/>
      <c r="BI57" s="374" t="s">
        <v>73</v>
      </c>
      <c r="BJ57" s="375"/>
      <c r="BK57" s="375"/>
      <c r="BL57" s="375"/>
      <c r="BM57" s="375"/>
      <c r="BN57" s="376"/>
      <c r="BO57" s="58" t="s">
        <v>76</v>
      </c>
      <c r="BP57" s="377">
        <f>+BP30</f>
        <v>0</v>
      </c>
      <c r="BQ57" s="379"/>
      <c r="BR57" s="5"/>
      <c r="BS57" s="5"/>
      <c r="BT57" s="5"/>
      <c r="BU57" s="5"/>
      <c r="BV57" s="5"/>
    </row>
    <row r="58" spans="1:74" ht="18" customHeight="1" x14ac:dyDescent="0.25">
      <c r="A58" s="5"/>
      <c r="B58" s="6"/>
      <c r="C58" s="7"/>
      <c r="D58" s="7"/>
      <c r="E58" s="7"/>
      <c r="F58" s="7"/>
      <c r="G58" s="7"/>
      <c r="H58" s="7"/>
      <c r="I58" s="7"/>
      <c r="J58" s="7"/>
      <c r="K58" s="91"/>
      <c r="L58" s="91"/>
      <c r="M58" s="91"/>
      <c r="N58" s="91"/>
      <c r="O58" s="91"/>
      <c r="P58" s="91"/>
      <c r="Q58" s="91"/>
      <c r="R58" s="91"/>
      <c r="S58" s="91"/>
      <c r="T58" s="91"/>
      <c r="U58" s="91"/>
      <c r="V58" s="91"/>
      <c r="W58" s="91"/>
      <c r="X58" s="91"/>
      <c r="Y58" s="91"/>
      <c r="Z58" s="91"/>
      <c r="AA58" s="91"/>
      <c r="AB58" s="91"/>
      <c r="AC58" s="91"/>
      <c r="AD58" s="91"/>
      <c r="AE58" s="91"/>
      <c r="AF58" s="91"/>
      <c r="AG58" s="91"/>
      <c r="AH58" s="91"/>
      <c r="AI58" s="91"/>
      <c r="AJ58" s="91"/>
      <c r="AK58" s="91"/>
      <c r="AL58" s="91"/>
      <c r="AM58" s="91"/>
      <c r="AN58" s="91"/>
      <c r="AO58" s="91"/>
      <c r="AP58" s="91"/>
      <c r="AQ58" s="91"/>
      <c r="AR58" s="91"/>
      <c r="AS58" s="91"/>
      <c r="AT58" s="91"/>
      <c r="AU58" s="91"/>
      <c r="AV58" s="91"/>
      <c r="AW58" s="91"/>
      <c r="AX58" s="91"/>
      <c r="AY58" s="91"/>
      <c r="AZ58" s="91"/>
      <c r="BA58" s="91"/>
      <c r="BB58" s="91"/>
      <c r="BC58" s="91"/>
      <c r="BD58" s="91"/>
      <c r="BE58" s="91"/>
      <c r="BF58" s="8"/>
      <c r="BG58" s="5"/>
      <c r="BH58" s="5"/>
      <c r="BI58" s="374" t="s">
        <v>75</v>
      </c>
      <c r="BJ58" s="375"/>
      <c r="BK58" s="375"/>
      <c r="BL58" s="375"/>
      <c r="BM58" s="375"/>
      <c r="BN58" s="376"/>
      <c r="BO58" s="58" t="s">
        <v>76</v>
      </c>
      <c r="BP58" s="377">
        <f>+AW35-AW38</f>
        <v>0</v>
      </c>
      <c r="BQ58" s="378"/>
      <c r="BR58" s="5"/>
      <c r="BS58" s="5"/>
      <c r="BT58" s="5"/>
      <c r="BU58" s="5"/>
      <c r="BV58" s="5"/>
    </row>
    <row r="59" spans="1:74" ht="18" customHeight="1" x14ac:dyDescent="0.25">
      <c r="A59" s="5"/>
      <c r="B59" s="6"/>
      <c r="C59" s="7"/>
      <c r="D59" s="7"/>
      <c r="E59" s="7"/>
      <c r="F59" s="7"/>
      <c r="G59" s="7"/>
      <c r="H59" s="7"/>
      <c r="I59" s="7"/>
      <c r="J59" s="7"/>
      <c r="K59" s="91"/>
      <c r="L59" s="91"/>
      <c r="M59" s="91"/>
      <c r="N59" s="91"/>
      <c r="O59" s="91"/>
      <c r="P59" s="91"/>
      <c r="Q59" s="91"/>
      <c r="R59" s="91"/>
      <c r="S59" s="91"/>
      <c r="T59" s="91"/>
      <c r="U59" s="91"/>
      <c r="V59" s="91"/>
      <c r="W59" s="91"/>
      <c r="X59" s="91"/>
      <c r="Y59" s="91"/>
      <c r="Z59" s="91"/>
      <c r="AA59" s="91"/>
      <c r="AB59" s="91"/>
      <c r="AC59" s="91"/>
      <c r="AD59" s="91"/>
      <c r="AE59" s="91"/>
      <c r="AF59" s="91"/>
      <c r="AG59" s="91"/>
      <c r="AH59" s="91"/>
      <c r="AI59" s="91"/>
      <c r="AJ59" s="91"/>
      <c r="AK59" s="91"/>
      <c r="AL59" s="91"/>
      <c r="AM59" s="91"/>
      <c r="AN59" s="91"/>
      <c r="AO59" s="91"/>
      <c r="AP59" s="91"/>
      <c r="AQ59" s="91"/>
      <c r="AR59" s="91"/>
      <c r="AS59" s="91"/>
      <c r="AT59" s="91"/>
      <c r="AU59" s="91"/>
      <c r="AV59" s="91"/>
      <c r="AW59" s="91"/>
      <c r="AX59" s="91"/>
      <c r="AY59" s="91"/>
      <c r="AZ59" s="91"/>
      <c r="BA59" s="91"/>
      <c r="BB59" s="91"/>
      <c r="BC59" s="91"/>
      <c r="BD59" s="91"/>
      <c r="BE59" s="91"/>
      <c r="BF59" s="8"/>
      <c r="BG59" s="5"/>
      <c r="BH59" s="5"/>
      <c r="BI59" s="5"/>
      <c r="BJ59" s="5"/>
      <c r="BK59" s="5"/>
      <c r="BL59" s="5"/>
      <c r="BM59" s="5"/>
      <c r="BN59" s="5"/>
      <c r="BO59" s="5"/>
      <c r="BP59" s="5"/>
      <c r="BQ59" s="5"/>
      <c r="BR59" s="5"/>
      <c r="BS59" s="5"/>
      <c r="BT59" s="5"/>
      <c r="BU59" s="5"/>
      <c r="BV59" s="5"/>
    </row>
    <row r="60" spans="1:74" ht="15.75" thickBot="1" x14ac:dyDescent="0.3">
      <c r="A60" s="5"/>
      <c r="B60" s="31"/>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2"/>
      <c r="BF60" s="33"/>
      <c r="BG60" s="5"/>
      <c r="BH60" s="5"/>
      <c r="BI60" s="71" t="s">
        <v>50</v>
      </c>
      <c r="BJ60" s="71"/>
      <c r="BK60" s="71"/>
      <c r="BL60" s="71"/>
      <c r="BM60" s="71"/>
      <c r="BN60" s="71"/>
      <c r="BO60" s="71"/>
      <c r="BP60" s="71"/>
      <c r="BQ60" s="71"/>
      <c r="BR60" s="71"/>
      <c r="BS60" s="71"/>
      <c r="BT60" s="71"/>
      <c r="BU60" s="71"/>
      <c r="BV60" s="5"/>
    </row>
    <row r="61" spans="1:74" ht="15" customHeight="1" x14ac:dyDescent="0.25">
      <c r="A61" s="5"/>
      <c r="B61" s="34" t="s">
        <v>44</v>
      </c>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5"/>
      <c r="BH61" s="5"/>
      <c r="BI61" s="71"/>
      <c r="BJ61" s="71"/>
      <c r="BK61" s="71"/>
      <c r="BL61" s="71"/>
      <c r="BM61" s="71"/>
      <c r="BN61" s="71"/>
      <c r="BO61" s="71"/>
      <c r="BP61" s="71"/>
      <c r="BQ61" s="71"/>
      <c r="BR61" s="71"/>
      <c r="BS61" s="71"/>
      <c r="BT61" s="71"/>
      <c r="BU61" s="71"/>
      <c r="BV61" s="5"/>
    </row>
    <row r="62" spans="1:74" ht="15" customHeight="1" x14ac:dyDescent="0.25">
      <c r="A62" s="5"/>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5"/>
      <c r="BH62" s="5"/>
      <c r="BI62" s="71"/>
      <c r="BJ62" s="71"/>
      <c r="BK62" s="71"/>
      <c r="BL62" s="71"/>
      <c r="BM62" s="71"/>
      <c r="BN62" s="71"/>
      <c r="BO62" s="71"/>
      <c r="BP62" s="71"/>
      <c r="BQ62" s="71"/>
      <c r="BR62" s="71"/>
      <c r="BS62" s="71"/>
      <c r="BT62" s="71"/>
      <c r="BU62" s="71"/>
      <c r="BV62" s="5"/>
    </row>
    <row r="63" spans="1:74" ht="18.75" x14ac:dyDescent="0.25">
      <c r="A63" s="5"/>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7"/>
      <c r="AF63" s="35"/>
      <c r="AG63" s="35"/>
      <c r="AH63" s="35"/>
      <c r="AI63" s="35"/>
      <c r="AJ63" s="35"/>
      <c r="AK63" s="35"/>
      <c r="AL63" s="35"/>
      <c r="AM63" s="35"/>
      <c r="AN63" s="35"/>
      <c r="AO63" s="35"/>
      <c r="AP63" s="35"/>
      <c r="AQ63" s="20"/>
      <c r="AR63" s="20"/>
      <c r="AS63" s="35"/>
      <c r="AT63" s="35"/>
      <c r="AU63" s="35"/>
      <c r="AV63" s="35"/>
      <c r="AW63" s="35"/>
      <c r="AX63" s="35"/>
      <c r="AY63" s="35"/>
      <c r="AZ63" s="35"/>
      <c r="BA63" s="35"/>
      <c r="BB63" s="35"/>
      <c r="BC63" s="35"/>
      <c r="BD63" s="35"/>
      <c r="BE63" s="35"/>
      <c r="BF63" s="20"/>
      <c r="BG63" s="5"/>
      <c r="BH63" s="5"/>
      <c r="BI63" s="71" t="s">
        <v>49</v>
      </c>
      <c r="BJ63" s="71"/>
      <c r="BK63" s="71"/>
      <c r="BL63" s="71"/>
      <c r="BM63" s="71"/>
      <c r="BN63" s="71"/>
      <c r="BO63" s="71"/>
      <c r="BP63" s="71"/>
      <c r="BQ63" s="71"/>
      <c r="BR63" s="71"/>
      <c r="BS63" s="71"/>
      <c r="BT63" s="71"/>
      <c r="BU63" s="71"/>
      <c r="BV63" s="5"/>
    </row>
    <row r="64" spans="1:74" ht="15" customHeight="1" x14ac:dyDescent="0.25">
      <c r="A64" s="5"/>
      <c r="B64" s="36" t="s">
        <v>80</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7"/>
      <c r="AF64" s="99" t="s">
        <v>45</v>
      </c>
      <c r="AG64" s="99"/>
      <c r="AH64" s="99"/>
      <c r="AI64" s="99"/>
      <c r="AJ64" s="99"/>
      <c r="AK64" s="99"/>
      <c r="AL64" s="99"/>
      <c r="AM64" s="99"/>
      <c r="AN64" s="99"/>
      <c r="AO64" s="99"/>
      <c r="AP64" s="99"/>
      <c r="AQ64" s="99"/>
      <c r="AR64" s="36"/>
      <c r="AS64" s="99" t="s">
        <v>46</v>
      </c>
      <c r="AT64" s="99"/>
      <c r="AU64" s="99"/>
      <c r="AV64" s="99"/>
      <c r="AW64" s="99"/>
      <c r="AX64" s="99"/>
      <c r="AY64" s="99"/>
      <c r="AZ64" s="99"/>
      <c r="BA64" s="99"/>
      <c r="BB64" s="99"/>
      <c r="BC64" s="99"/>
      <c r="BD64" s="99"/>
      <c r="BE64" s="99"/>
      <c r="BF64" s="20"/>
      <c r="BG64" s="5"/>
      <c r="BH64" s="5"/>
      <c r="BI64" s="5"/>
      <c r="BJ64" s="5"/>
      <c r="BK64" s="5"/>
      <c r="BL64" s="5"/>
      <c r="BM64" s="5"/>
      <c r="BN64" s="5"/>
      <c r="BO64" s="5"/>
      <c r="BP64" s="5"/>
      <c r="BQ64" s="5"/>
      <c r="BR64" s="5"/>
      <c r="BS64" s="5"/>
      <c r="BT64" s="5"/>
      <c r="BU64" s="5"/>
      <c r="BV64" s="5"/>
    </row>
    <row r="65" spans="1:74" x14ac:dyDescent="0.25">
      <c r="A65" s="5"/>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5"/>
      <c r="BH65" s="5"/>
      <c r="BI65" s="5"/>
      <c r="BJ65" s="5"/>
      <c r="BK65" s="5"/>
      <c r="BL65" s="5"/>
      <c r="BM65" s="5"/>
      <c r="BN65" s="5"/>
      <c r="BO65" s="5"/>
      <c r="BP65" s="5"/>
      <c r="BQ65" s="5"/>
      <c r="BR65" s="5"/>
      <c r="BS65" s="5"/>
      <c r="BT65" s="5"/>
      <c r="BU65" s="5"/>
      <c r="BV65" s="5"/>
    </row>
    <row r="66" spans="1:74" ht="1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row>
    <row r="67" spans="1:74"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row>
    <row r="68" spans="1:74"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V68" s="5"/>
    </row>
    <row r="69" spans="1:74"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V69" s="5"/>
    </row>
    <row r="70" spans="1:74"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V70" s="5"/>
    </row>
  </sheetData>
  <sheetProtection algorithmName="SHA-512" hashValue="2S0/x+8qr/Go6d7X85+e2ci58ABX2gmtdAXqtFNpI3jguRaUDVlrGsJGZPsz5w7GRrbfF2YeICgTKOjHEDEy6g==" saltValue="HkapNdmHsdmh3u/Rbq+2jA==" spinCount="100000" sheet="1" formatCells="0" formatColumns="0" formatRows="0" insertColumns="0" insertRows="0" insertHyperlinks="0" deleteColumns="0" deleteRows="0" sort="0" autoFilter="0" pivotTables="0"/>
  <mergeCells count="311">
    <mergeCell ref="BI15:BU16"/>
    <mergeCell ref="BI53:BU54"/>
    <mergeCell ref="BI56:BN56"/>
    <mergeCell ref="BI57:BN57"/>
    <mergeCell ref="BI58:BN58"/>
    <mergeCell ref="BP56:BQ56"/>
    <mergeCell ref="BP57:BQ57"/>
    <mergeCell ref="BP58:BQ58"/>
    <mergeCell ref="BI37:BI38"/>
    <mergeCell ref="BK37:BK38"/>
    <mergeCell ref="BM37:BN38"/>
    <mergeCell ref="BP37:BP38"/>
    <mergeCell ref="BP40:BP41"/>
    <mergeCell ref="BP42:BP43"/>
    <mergeCell ref="BP44:BP45"/>
    <mergeCell ref="BP46:BP47"/>
    <mergeCell ref="BS40:BT41"/>
    <mergeCell ref="BS42:BT43"/>
    <mergeCell ref="BS44:BT45"/>
    <mergeCell ref="BU40:BU41"/>
    <mergeCell ref="BU42:BU43"/>
    <mergeCell ref="BQ37:BR38"/>
    <mergeCell ref="BQ40:BR41"/>
    <mergeCell ref="BI48:BI49"/>
    <mergeCell ref="BK48:BK49"/>
    <mergeCell ref="BP48:BP49"/>
    <mergeCell ref="BI40:BI41"/>
    <mergeCell ref="BI42:BI43"/>
    <mergeCell ref="BI44:BI45"/>
    <mergeCell ref="BI46:BI47"/>
    <mergeCell ref="BK40:BK41"/>
    <mergeCell ref="BK42:BK43"/>
    <mergeCell ref="BK44:BK45"/>
    <mergeCell ref="BK46:BK47"/>
    <mergeCell ref="BM40:BN41"/>
    <mergeCell ref="BQ42:BR43"/>
    <mergeCell ref="BQ44:BR45"/>
    <mergeCell ref="BM42:BN43"/>
    <mergeCell ref="BU44:BU45"/>
    <mergeCell ref="BS46:BT47"/>
    <mergeCell ref="BU46:BU47"/>
    <mergeCell ref="BQ48:BR49"/>
    <mergeCell ref="BU26:BU27"/>
    <mergeCell ref="BU30:BU32"/>
    <mergeCell ref="BQ46:BR47"/>
    <mergeCell ref="BM48:BN49"/>
    <mergeCell ref="BS48:BT49"/>
    <mergeCell ref="BU48:BU49"/>
    <mergeCell ref="BS37:BU38"/>
    <mergeCell ref="BM44:BN45"/>
    <mergeCell ref="BM46:BN47"/>
    <mergeCell ref="BI26:BK27"/>
    <mergeCell ref="BM26:BN27"/>
    <mergeCell ref="BP26:BQ27"/>
    <mergeCell ref="BS26:BT27"/>
    <mergeCell ref="BI28:BK29"/>
    <mergeCell ref="BM28:BN29"/>
    <mergeCell ref="BP28:BQ29"/>
    <mergeCell ref="BS28:BT29"/>
    <mergeCell ref="BU28:BU29"/>
    <mergeCell ref="BI30:BK32"/>
    <mergeCell ref="BM30:BN32"/>
    <mergeCell ref="BP30:BQ32"/>
    <mergeCell ref="BS30:BT32"/>
    <mergeCell ref="BI34:BU35"/>
    <mergeCell ref="BI17:BU18"/>
    <mergeCell ref="BI22:BK23"/>
    <mergeCell ref="BI24:BK25"/>
    <mergeCell ref="BM2:BQ6"/>
    <mergeCell ref="BM20:BN20"/>
    <mergeCell ref="BP20:BQ20"/>
    <mergeCell ref="BS20:BU20"/>
    <mergeCell ref="BM22:BN23"/>
    <mergeCell ref="BM24:BN25"/>
    <mergeCell ref="BP22:BQ23"/>
    <mergeCell ref="BP24:BQ25"/>
    <mergeCell ref="BS22:BT23"/>
    <mergeCell ref="BS24:BT25"/>
    <mergeCell ref="BU22:BU23"/>
    <mergeCell ref="BU24:BU25"/>
    <mergeCell ref="BI9:BU10"/>
    <mergeCell ref="BP12:BQ12"/>
    <mergeCell ref="BI12:BK12"/>
    <mergeCell ref="BI13:BK14"/>
    <mergeCell ref="BL13:BL14"/>
    <mergeCell ref="BM12:BN12"/>
    <mergeCell ref="BO13:BO14"/>
    <mergeCell ref="BM13:BN14"/>
    <mergeCell ref="BP13:BQ14"/>
    <mergeCell ref="BS13:BT14"/>
    <mergeCell ref="BS12:BU12"/>
    <mergeCell ref="BU13:BU14"/>
    <mergeCell ref="BA7:BF8"/>
    <mergeCell ref="S2:BF5"/>
    <mergeCell ref="B6:G6"/>
    <mergeCell ref="H6:AQ6"/>
    <mergeCell ref="AR6:AZ6"/>
    <mergeCell ref="BA6:BF6"/>
    <mergeCell ref="B7:G8"/>
    <mergeCell ref="H7:AQ8"/>
    <mergeCell ref="AR7:AZ8"/>
    <mergeCell ref="B12:T12"/>
    <mergeCell ref="U12:AA12"/>
    <mergeCell ref="AB12:AH12"/>
    <mergeCell ref="AI12:AO12"/>
    <mergeCell ref="AP12:AV12"/>
    <mergeCell ref="AW12:BF12"/>
    <mergeCell ref="B9:BF9"/>
    <mergeCell ref="B10:T11"/>
    <mergeCell ref="U10:AA11"/>
    <mergeCell ref="AB10:AH11"/>
    <mergeCell ref="AI10:AO11"/>
    <mergeCell ref="AP10:AV11"/>
    <mergeCell ref="AW10:BF11"/>
    <mergeCell ref="B14:T14"/>
    <mergeCell ref="U14:AA14"/>
    <mergeCell ref="AB14:AH14"/>
    <mergeCell ref="AI14:AO14"/>
    <mergeCell ref="AP14:AV14"/>
    <mergeCell ref="AW14:BF14"/>
    <mergeCell ref="B13:T13"/>
    <mergeCell ref="U13:AA13"/>
    <mergeCell ref="AB13:AH13"/>
    <mergeCell ref="AI13:AO13"/>
    <mergeCell ref="AP13:AV13"/>
    <mergeCell ref="AW13:BF13"/>
    <mergeCell ref="B16:T16"/>
    <mergeCell ref="U16:AA16"/>
    <mergeCell ref="AB16:AH16"/>
    <mergeCell ref="AI16:AO16"/>
    <mergeCell ref="AP16:AV16"/>
    <mergeCell ref="AW16:BF16"/>
    <mergeCell ref="B15:T15"/>
    <mergeCell ref="U15:AA15"/>
    <mergeCell ref="AB15:AH15"/>
    <mergeCell ref="AI15:AO15"/>
    <mergeCell ref="AP15:AV15"/>
    <mergeCell ref="AW15:BF15"/>
    <mergeCell ref="B18:T18"/>
    <mergeCell ref="U18:AA18"/>
    <mergeCell ref="AB18:AH18"/>
    <mergeCell ref="AI18:AO18"/>
    <mergeCell ref="AP18:AV18"/>
    <mergeCell ref="AW18:BF18"/>
    <mergeCell ref="B17:T17"/>
    <mergeCell ref="U17:AA17"/>
    <mergeCell ref="AB17:AH17"/>
    <mergeCell ref="AI17:AO17"/>
    <mergeCell ref="AP17:AV17"/>
    <mergeCell ref="AW17:BF17"/>
    <mergeCell ref="B23:AO23"/>
    <mergeCell ref="AP23:AV23"/>
    <mergeCell ref="AW23:BF23"/>
    <mergeCell ref="B24:AO24"/>
    <mergeCell ref="AP24:AV24"/>
    <mergeCell ref="AW24:BF24"/>
    <mergeCell ref="B20:AO21"/>
    <mergeCell ref="AP20:AV21"/>
    <mergeCell ref="AW20:BF21"/>
    <mergeCell ref="B22:AO22"/>
    <mergeCell ref="AP22:AV22"/>
    <mergeCell ref="AW22:BF22"/>
    <mergeCell ref="B28:T28"/>
    <mergeCell ref="U28:AA28"/>
    <mergeCell ref="AB28:AH28"/>
    <mergeCell ref="AI28:AO28"/>
    <mergeCell ref="AP28:AV28"/>
    <mergeCell ref="AW28:BF28"/>
    <mergeCell ref="U25:AA25"/>
    <mergeCell ref="AP25:AV25"/>
    <mergeCell ref="AW25:BF25"/>
    <mergeCell ref="B26:BF26"/>
    <mergeCell ref="B27:T27"/>
    <mergeCell ref="U27:AA27"/>
    <mergeCell ref="AB27:AH27"/>
    <mergeCell ref="AI27:AO27"/>
    <mergeCell ref="AP27:AV27"/>
    <mergeCell ref="AW27:BF27"/>
    <mergeCell ref="B30:T30"/>
    <mergeCell ref="U30:AA30"/>
    <mergeCell ref="AB30:AH30"/>
    <mergeCell ref="AI30:AO30"/>
    <mergeCell ref="AP30:AV30"/>
    <mergeCell ref="AW30:BF30"/>
    <mergeCell ref="B29:T29"/>
    <mergeCell ref="U29:AA29"/>
    <mergeCell ref="AB29:AH29"/>
    <mergeCell ref="AI29:AO29"/>
    <mergeCell ref="AP29:AV29"/>
    <mergeCell ref="AW29:BF29"/>
    <mergeCell ref="B35:T35"/>
    <mergeCell ref="U35:AA35"/>
    <mergeCell ref="AB35:AH35"/>
    <mergeCell ref="AI35:AO35"/>
    <mergeCell ref="AP35:AV35"/>
    <mergeCell ref="AW35:BF35"/>
    <mergeCell ref="B33:BF33"/>
    <mergeCell ref="B34:T34"/>
    <mergeCell ref="U34:AA34"/>
    <mergeCell ref="AB34:AH34"/>
    <mergeCell ref="AI34:AO34"/>
    <mergeCell ref="AP34:AV34"/>
    <mergeCell ref="AW34:BF34"/>
    <mergeCell ref="B37:T37"/>
    <mergeCell ref="U37:AA37"/>
    <mergeCell ref="AB37:AH37"/>
    <mergeCell ref="AI37:AO37"/>
    <mergeCell ref="AP37:AV37"/>
    <mergeCell ref="AW37:BF37"/>
    <mergeCell ref="B36:T36"/>
    <mergeCell ref="U36:AA36"/>
    <mergeCell ref="AB36:AH36"/>
    <mergeCell ref="AI36:AO36"/>
    <mergeCell ref="AP36:AV36"/>
    <mergeCell ref="AW36:BF36"/>
    <mergeCell ref="B39:T39"/>
    <mergeCell ref="U39:AA39"/>
    <mergeCell ref="AB39:AH39"/>
    <mergeCell ref="AI39:AO39"/>
    <mergeCell ref="AP39:AV39"/>
    <mergeCell ref="AW39:BF39"/>
    <mergeCell ref="B38:T38"/>
    <mergeCell ref="U38:AA38"/>
    <mergeCell ref="AB38:AH38"/>
    <mergeCell ref="AI38:AO38"/>
    <mergeCell ref="AP38:AV38"/>
    <mergeCell ref="AW38:BF38"/>
    <mergeCell ref="B40:P41"/>
    <mergeCell ref="Q40:AD40"/>
    <mergeCell ref="AE40:AR40"/>
    <mergeCell ref="AS40:BF40"/>
    <mergeCell ref="Q41:T41"/>
    <mergeCell ref="U41:AD41"/>
    <mergeCell ref="AE41:AH41"/>
    <mergeCell ref="AI41:AR41"/>
    <mergeCell ref="AS41:AV41"/>
    <mergeCell ref="AW41:BF41"/>
    <mergeCell ref="AW42:BF42"/>
    <mergeCell ref="B43:P43"/>
    <mergeCell ref="Q43:T43"/>
    <mergeCell ref="U43:AD43"/>
    <mergeCell ref="AE43:AH43"/>
    <mergeCell ref="AI43:AR43"/>
    <mergeCell ref="AS43:AV43"/>
    <mergeCell ref="AW43:BF43"/>
    <mergeCell ref="B42:P42"/>
    <mergeCell ref="Q42:T42"/>
    <mergeCell ref="U42:AD42"/>
    <mergeCell ref="AE42:AH42"/>
    <mergeCell ref="AI42:AR42"/>
    <mergeCell ref="AS42:AV42"/>
    <mergeCell ref="AW44:BF44"/>
    <mergeCell ref="B45:P45"/>
    <mergeCell ref="Q45:T45"/>
    <mergeCell ref="U45:AD45"/>
    <mergeCell ref="AE45:AH45"/>
    <mergeCell ref="AI45:AR45"/>
    <mergeCell ref="AS45:AV45"/>
    <mergeCell ref="AW45:BF45"/>
    <mergeCell ref="B44:P44"/>
    <mergeCell ref="Q44:T44"/>
    <mergeCell ref="U44:AD44"/>
    <mergeCell ref="AE44:AH44"/>
    <mergeCell ref="AI44:AR44"/>
    <mergeCell ref="AS44:AV44"/>
    <mergeCell ref="AS46:AV46"/>
    <mergeCell ref="AF64:AQ64"/>
    <mergeCell ref="AS64:BE64"/>
    <mergeCell ref="T51:BD51"/>
    <mergeCell ref="F52:BF52"/>
    <mergeCell ref="B54:R54"/>
    <mergeCell ref="S54:T54"/>
    <mergeCell ref="AF54:BE56"/>
    <mergeCell ref="B56:P56"/>
    <mergeCell ref="S56:T56"/>
    <mergeCell ref="AW48:BF48"/>
    <mergeCell ref="AE47:AH47"/>
    <mergeCell ref="AI47:AR47"/>
    <mergeCell ref="AS47:AV47"/>
    <mergeCell ref="AW47:BF47"/>
    <mergeCell ref="B46:P46"/>
    <mergeCell ref="Q46:T46"/>
    <mergeCell ref="U46:AD46"/>
    <mergeCell ref="AE46:AH46"/>
    <mergeCell ref="AI46:AR46"/>
    <mergeCell ref="U54:W54"/>
    <mergeCell ref="U56:W56"/>
    <mergeCell ref="BS3:BS4"/>
    <mergeCell ref="BS6:BS7"/>
    <mergeCell ref="BT2:BU3"/>
    <mergeCell ref="BI60:BU62"/>
    <mergeCell ref="BI63:BU63"/>
    <mergeCell ref="BI7:BJ7"/>
    <mergeCell ref="B49:P49"/>
    <mergeCell ref="Q49:T49"/>
    <mergeCell ref="U49:AD49"/>
    <mergeCell ref="AE49:AH49"/>
    <mergeCell ref="AI49:AR49"/>
    <mergeCell ref="AS49:AV49"/>
    <mergeCell ref="AW49:BF49"/>
    <mergeCell ref="B48:P48"/>
    <mergeCell ref="Q48:T48"/>
    <mergeCell ref="U48:AD48"/>
    <mergeCell ref="K57:BE59"/>
    <mergeCell ref="AE48:AH48"/>
    <mergeCell ref="AI48:AR48"/>
    <mergeCell ref="AS48:AV48"/>
    <mergeCell ref="AW46:BF46"/>
    <mergeCell ref="B47:P47"/>
    <mergeCell ref="Q47:T47"/>
    <mergeCell ref="U47:AD47"/>
  </mergeCells>
  <conditionalFormatting sqref="BU13:BU14">
    <cfRule type="cellIs" dxfId="37" priority="56" operator="lessThan">
      <formula>0</formula>
    </cfRule>
    <cfRule type="cellIs" dxfId="36" priority="57" operator="greaterThan">
      <formula>0</formula>
    </cfRule>
  </conditionalFormatting>
  <conditionalFormatting sqref="BU22">
    <cfRule type="containsText" dxfId="35" priority="49" operator="containsText" text="Sin">
      <formula>NOT(ISERROR(SEARCH("Sin",BU22)))</formula>
    </cfRule>
    <cfRule type="containsText" dxfId="34" priority="50" operator="containsText" text="sobrante">
      <formula>NOT(ISERROR(SEARCH("sobrante",BU22)))</formula>
    </cfRule>
    <cfRule type="containsText" dxfId="33" priority="51" operator="containsText" text="Faltante">
      <formula>NOT(ISERROR(SEARCH("Faltante",BU22)))</formula>
    </cfRule>
  </conditionalFormatting>
  <conditionalFormatting sqref="BU24">
    <cfRule type="containsText" dxfId="32" priority="46" operator="containsText" text="Sin">
      <formula>NOT(ISERROR(SEARCH("Sin",BU24)))</formula>
    </cfRule>
    <cfRule type="containsText" dxfId="31" priority="47" operator="containsText" text="sobrante">
      <formula>NOT(ISERROR(SEARCH("sobrante",BU24)))</formula>
    </cfRule>
    <cfRule type="containsText" dxfId="30" priority="48" operator="containsText" text="Faltante">
      <formula>NOT(ISERROR(SEARCH("Faltante",BU24)))</formula>
    </cfRule>
  </conditionalFormatting>
  <conditionalFormatting sqref="BU26">
    <cfRule type="containsText" dxfId="29" priority="43" operator="containsText" text="Sin">
      <formula>NOT(ISERROR(SEARCH("Sin",BU26)))</formula>
    </cfRule>
    <cfRule type="containsText" dxfId="28" priority="44" operator="containsText" text="sobrante">
      <formula>NOT(ISERROR(SEARCH("sobrante",BU26)))</formula>
    </cfRule>
    <cfRule type="containsText" dxfId="27" priority="45" operator="containsText" text="Faltante">
      <formula>NOT(ISERROR(SEARCH("Faltante",BU26)))</formula>
    </cfRule>
  </conditionalFormatting>
  <conditionalFormatting sqref="BU28">
    <cfRule type="containsText" dxfId="26" priority="40" operator="containsText" text="Sin">
      <formula>NOT(ISERROR(SEARCH("Sin",BU28)))</formula>
    </cfRule>
    <cfRule type="containsText" dxfId="25" priority="41" operator="containsText" text="sobrante">
      <formula>NOT(ISERROR(SEARCH("sobrante",BU28)))</formula>
    </cfRule>
    <cfRule type="containsText" dxfId="24" priority="42" operator="containsText" text="Faltante">
      <formula>NOT(ISERROR(SEARCH("Faltante",BU28)))</formula>
    </cfRule>
  </conditionalFormatting>
  <conditionalFormatting sqref="BU42">
    <cfRule type="containsText" dxfId="23" priority="22" operator="containsText" text="Sin">
      <formula>NOT(ISERROR(SEARCH("Sin",BU42)))</formula>
    </cfRule>
    <cfRule type="containsText" dxfId="22" priority="23" operator="containsText" text="sobrante">
      <formula>NOT(ISERROR(SEARCH("sobrante",BU42)))</formula>
    </cfRule>
    <cfRule type="containsText" dxfId="21" priority="24" operator="containsText" text="Faltante">
      <formula>NOT(ISERROR(SEARCH("Faltante",BU42)))</formula>
    </cfRule>
  </conditionalFormatting>
  <conditionalFormatting sqref="BU42">
    <cfRule type="containsText" dxfId="20" priority="19" operator="containsText" text="Sin">
      <formula>NOT(ISERROR(SEARCH("Sin",BU42)))</formula>
    </cfRule>
    <cfRule type="containsText" dxfId="19" priority="20" operator="containsText" text="sobrante">
      <formula>NOT(ISERROR(SEARCH("sobrante",BU42)))</formula>
    </cfRule>
    <cfRule type="containsText" dxfId="18" priority="21" operator="containsText" text="Faltante">
      <formula>NOT(ISERROR(SEARCH("Faltante",BU42)))</formula>
    </cfRule>
  </conditionalFormatting>
  <conditionalFormatting sqref="BU44">
    <cfRule type="containsText" dxfId="17" priority="16" operator="containsText" text="Sin">
      <formula>NOT(ISERROR(SEARCH("Sin",BU44)))</formula>
    </cfRule>
    <cfRule type="containsText" dxfId="16" priority="17" operator="containsText" text="sobrante">
      <formula>NOT(ISERROR(SEARCH("sobrante",BU44)))</formula>
    </cfRule>
    <cfRule type="containsText" dxfId="15" priority="18" operator="containsText" text="Faltante">
      <formula>NOT(ISERROR(SEARCH("Faltante",BU44)))</formula>
    </cfRule>
  </conditionalFormatting>
  <conditionalFormatting sqref="BU44">
    <cfRule type="containsText" dxfId="14" priority="13" operator="containsText" text="Sin">
      <formula>NOT(ISERROR(SEARCH("Sin",BU44)))</formula>
    </cfRule>
    <cfRule type="containsText" dxfId="13" priority="14" operator="containsText" text="sobrante">
      <formula>NOT(ISERROR(SEARCH("sobrante",BU44)))</formula>
    </cfRule>
    <cfRule type="containsText" dxfId="12" priority="15" operator="containsText" text="Faltante">
      <formula>NOT(ISERROR(SEARCH("Faltante",BU44)))</formula>
    </cfRule>
  </conditionalFormatting>
  <conditionalFormatting sqref="BU46">
    <cfRule type="containsText" dxfId="11" priority="10" operator="containsText" text="Sin">
      <formula>NOT(ISERROR(SEARCH("Sin",BU46)))</formula>
    </cfRule>
    <cfRule type="containsText" dxfId="10" priority="11" operator="containsText" text="sobrante">
      <formula>NOT(ISERROR(SEARCH("sobrante",BU46)))</formula>
    </cfRule>
    <cfRule type="containsText" dxfId="9" priority="12" operator="containsText" text="Faltante">
      <formula>NOT(ISERROR(SEARCH("Faltante",BU46)))</formula>
    </cfRule>
  </conditionalFormatting>
  <conditionalFormatting sqref="BU46">
    <cfRule type="containsText" dxfId="8" priority="7" operator="containsText" text="Sin">
      <formula>NOT(ISERROR(SEARCH("Sin",BU46)))</formula>
    </cfRule>
    <cfRule type="containsText" dxfId="7" priority="8" operator="containsText" text="sobrante">
      <formula>NOT(ISERROR(SEARCH("sobrante",BU46)))</formula>
    </cfRule>
    <cfRule type="containsText" dxfId="6" priority="9" operator="containsText" text="Faltante">
      <formula>NOT(ISERROR(SEARCH("Faltante",BU46)))</formula>
    </cfRule>
  </conditionalFormatting>
  <conditionalFormatting sqref="BU40">
    <cfRule type="containsText" dxfId="5" priority="4" operator="containsText" text="Sin">
      <formula>NOT(ISERROR(SEARCH("Sin",BU40)))</formula>
    </cfRule>
    <cfRule type="containsText" dxfId="4" priority="5" operator="containsText" text="sobrante">
      <formula>NOT(ISERROR(SEARCH("sobrante",BU40)))</formula>
    </cfRule>
    <cfRule type="containsText" dxfId="3" priority="6" operator="containsText" text="Faltante">
      <formula>NOT(ISERROR(SEARCH("Faltante",BU40)))</formula>
    </cfRule>
  </conditionalFormatting>
  <conditionalFormatting sqref="BU40">
    <cfRule type="containsText" dxfId="2" priority="1" operator="containsText" text="Sin">
      <formula>NOT(ISERROR(SEARCH("Sin",BU40)))</formula>
    </cfRule>
    <cfRule type="containsText" dxfId="1" priority="2" operator="containsText" text="sobrante">
      <formula>NOT(ISERROR(SEARCH("sobrante",BU40)))</formula>
    </cfRule>
    <cfRule type="containsText" dxfId="0" priority="3" operator="containsText" text="Faltante">
      <formula>NOT(ISERROR(SEARCH("Faltante",BU40)))</formula>
    </cfRule>
  </conditionalFormatting>
  <dataValidations count="1">
    <dataValidation type="list" allowBlank="1" showInputMessage="1" showErrorMessage="1" sqref="U54:W54 U56:W56" xr:uid="{EB926C0F-9DC5-4121-9C79-302B565FD565}">
      <formula1>"SI,NO"</formula1>
    </dataValidation>
  </dataValidations>
  <printOptions horizontalCentered="1"/>
  <pageMargins left="0.7" right="0.7" top="0.75" bottom="0.75" header="0.3" footer="0.3"/>
  <pageSetup paperSize="9" scale="83" orientation="portrait" r:id="rId1"/>
  <colBreaks count="1" manualBreakCount="1">
    <brk id="59" min="1" max="64" man="1"/>
  </colBreaks>
  <drawing r:id="rId2"/>
</worksheet>
</file>

<file path=docMetadata/LabelInfo.xml><?xml version="1.0" encoding="utf-8"?>
<clbl:labelList xmlns:clbl="http://schemas.microsoft.com/office/2020/mipLabelMetadata">
  <clbl:label id="{d6f9582f-d920-4de2-9ec3-dbb73aa871e7}" enabled="0" method="" siteId="{d6f9582f-d920-4de2-9ec3-dbb73aa871e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PLANILLA DIARIA</vt:lpstr>
      <vt:lpstr>'PLANILLA DIARIA'!Área_de_impresión</vt:lpstr>
    </vt:vector>
  </TitlesOfParts>
  <Company>Banco de la Nación Argentina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Ciacciariello,Angel Ariel</dc:creator>
  <cp:lastModifiedBy>Luis Fernando Tenca</cp:lastModifiedBy>
  <cp:lastPrinted>2025-10-09T15:26:06Z</cp:lastPrinted>
  <dcterms:created xsi:type="dcterms:W3CDTF">2021-08-23T21:27:05Z</dcterms:created>
  <dcterms:modified xsi:type="dcterms:W3CDTF">2025-10-13T16:10:10Z</dcterms:modified>
</cp:coreProperties>
</file>